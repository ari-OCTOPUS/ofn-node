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خلاصه" sheetId="1" state="visible" r:id="rId3"/>
    <sheet name="لیست بازار گرم" sheetId="2" state="visible" r:id="rId4"/>
    <sheet name="لاگ کانال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<sst xmlns="http://schemas.openxmlformats.org/spreadsheetml/2006/main" count="87" uniqueCount="73">
  <si>
    <t xml:space="preserve">🌸 تراکرِ فروشِ اول — زیمان</t>
  </si>
  <si>
    <t xml:space="preserve">اسپرینتِ ۷ روزه · هدف ۵–۱۰ سفارش از بازارِ گرم · همه زیرِ سقفِ ظرفیت</t>
  </si>
  <si>
    <t xml:space="preserve">شاخص</t>
  </si>
  <si>
    <t xml:space="preserve">مقدار</t>
  </si>
  <si>
    <t xml:space="preserve">کلِ مخاطبین</t>
  </si>
  <si>
    <t xml:space="preserve">پیامِ ارسال‌شده</t>
  </si>
  <si>
    <t xml:space="preserve">پاسخ داده</t>
  </si>
  <si>
    <t xml:space="preserve">علاقه‌مند</t>
  </si>
  <si>
    <t xml:space="preserve">سفارش‌ها</t>
  </si>
  <si>
    <t xml:space="preserve">درآمد</t>
  </si>
  <si>
    <t xml:space="preserve">نرخِ پاسخ</t>
  </si>
  <si>
    <t xml:space="preserve">نرخِ تبدیل (سفارش/مخاطب)</t>
  </si>
  <si>
    <t xml:space="preserve">PayID دریافت‌شده</t>
  </si>
  <si>
    <t xml:space="preserve">⚙️ قیدِ ظرفیت (D4)</t>
  </si>
  <si>
    <t xml:space="preserve">سقفِ ظرفیت (واحد/هفته)</t>
  </si>
  <si>
    <t xml:space="preserve">وضعیت (کلِ سفارش‌ها نسبت به سقف)</t>
  </si>
  <si>
    <t xml:space="preserve">🌸 لیستِ بازارِ گرم — چه کسی، چه مناسبتی، چه شد</t>
  </si>
  <si>
    <t xml:space="preserve">[نام] را با اسمِ واقعی پر کن · هر روز وضعیت را به‌روز کن · ردیفِ «نمونه» را پاک کن</t>
  </si>
  <si>
    <t xml:space="preserve">#</t>
  </si>
  <si>
    <t xml:space="preserve">نام</t>
  </si>
  <si>
    <t xml:space="preserve">رابطه</t>
  </si>
  <si>
    <t xml:space="preserve">مناسبت</t>
  </si>
  <si>
    <t xml:space="preserve">کانال</t>
  </si>
  <si>
    <t xml:space="preserve">تاریخ ارسال</t>
  </si>
  <si>
    <t xml:space="preserve">پاسخ داد؟</t>
  </si>
  <si>
    <t xml:space="preserve">علاقه‌مند؟</t>
  </si>
  <si>
    <t xml:space="preserve">سفارش؟</t>
  </si>
  <si>
    <t xml:space="preserve">محصول</t>
  </si>
  <si>
    <t xml:space="preserve">مبلغ (AUD)</t>
  </si>
  <si>
    <t xml:space="preserve">PayID دریافت؟</t>
  </si>
  <si>
    <t xml:space="preserve">تحویل</t>
  </si>
  <si>
    <t xml:space="preserve">یادداشت</t>
  </si>
  <si>
    <t xml:space="preserve">[نام ۱]</t>
  </si>
  <si>
    <t xml:space="preserve">دوستِ نزدیک</t>
  </si>
  <si>
    <t xml:space="preserve">[نام ۲]</t>
  </si>
  <si>
    <t xml:space="preserve">آشنا</t>
  </si>
  <si>
    <t xml:space="preserve">نامزدی</t>
  </si>
  <si>
    <t xml:space="preserve">[نام ۳]</t>
  </si>
  <si>
    <t xml:space="preserve">فامیل</t>
  </si>
  <si>
    <t xml:space="preserve">تولد</t>
  </si>
  <si>
    <t xml:space="preserve">[نام ۴]</t>
  </si>
  <si>
    <t xml:space="preserve">همکار</t>
  </si>
  <si>
    <t xml:space="preserve">خانه‌تکونی</t>
  </si>
  <si>
    <t xml:space="preserve">[نام ۵]</t>
  </si>
  <si>
    <t xml:space="preserve">دوست</t>
  </si>
  <si>
    <t xml:space="preserve">سالگرد</t>
  </si>
  <si>
    <t xml:space="preserve">[نام ۶]</t>
  </si>
  <si>
    <t xml:space="preserve">[نام ۷]</t>
  </si>
  <si>
    <t xml:space="preserve">جامعهٔ سیدنی</t>
  </si>
  <si>
    <t xml:space="preserve">[نام ۸]</t>
  </si>
  <si>
    <t xml:space="preserve">معرفیِ دوست</t>
  </si>
  <si>
    <t xml:space="preserve">[نام ۹]</t>
  </si>
  <si>
    <t xml:space="preserve">[نام ۱۰]</t>
  </si>
  <si>
    <t xml:space="preserve">اینفلوئنسر (هدیهٔ استراتژیک)</t>
  </si>
  <si>
    <t xml:space="preserve">(نمونه — پاک کن)</t>
  </si>
  <si>
    <t xml:space="preserve">DM اینستاگرام</t>
  </si>
  <si>
    <t xml:space="preserve">2026-07-06</t>
  </si>
  <si>
    <t xml:space="preserve">بله</t>
  </si>
  <si>
    <t xml:space="preserve">شادوباکسِ گلِ قاب‌شده</t>
  </si>
  <si>
    <t xml:space="preserve">تحویل‌شده</t>
  </si>
  <si>
    <t xml:space="preserve">اولین فروشِ نمونه</t>
  </si>
  <si>
    <t xml:space="preserve">📊 لاگِ آزمایشِ کانال (هم‌راستا با Capacity &amp; Channels)</t>
  </si>
  <si>
    <t xml:space="preserve">فرضیه</t>
  </si>
  <si>
    <t xml:space="preserve">هزینه (AUD)</t>
  </si>
  <si>
    <t xml:space="preserve">بازه</t>
  </si>
  <si>
    <t xml:space="preserve">verdict</t>
  </si>
  <si>
    <t xml:space="preserve">DM بازارِ گرم</t>
  </si>
  <si>
    <t xml:space="preserve">پیامِ فردی از تبلیغِ سرد بهتر می‌بندد</t>
  </si>
  <si>
    <t xml:space="preserve">هفتهٔ ۱</t>
  </si>
  <si>
    <t xml:space="preserve">گروه‌های ایرانیانِ سیدنی</t>
  </si>
  <si>
    <t xml:space="preserve">دسترسیِ محلیِ ارزان</t>
  </si>
  <si>
    <t xml:space="preserve">اینستاگرام (بستنِ فروش)</t>
  </si>
  <si>
    <t xml:space="preserve">اعتبارسازی برای DM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</si>
</sst>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\$#,##0"/>
    <numFmt numFmtId="167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3B2F33"/>
      <name val="Tahoma"/>
      <family val="0"/>
      <charset val="1"/>
    </font>
    <font>
      <i val="true"/>
      <sz val="9"/>
      <color rgb="FF7A6B70"/>
      <name val="Tahoma"/>
      <family val="0"/>
      <charset val="1"/>
    </font>
    <font>
      <b val="true"/>
      <sz val="10"/>
      <color rgb="FFFFFFFF"/>
      <name val="Tahoma"/>
      <family val="0"/>
      <charset val="1"/>
    </font>
    <font>
      <b val="true"/>
      <sz val="10"/>
      <color rgb="FF3B2F33"/>
      <name val="Tahoma"/>
      <family val="0"/>
      <charset val="1"/>
    </font>
    <font>
      <sz val="10"/>
      <color rgb="FF3B2F33"/>
      <name val="Tahoma"/>
      <family val="0"/>
      <charset val="1"/>
    </font>
    <font>
      <b val="true"/>
      <sz val="10"/>
      <color rgb="FF0000FF"/>
      <name val="Tahom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B76E79"/>
        <bgColor rgb="FF7A6B70"/>
      </patternFill>
    </fill>
    <fill>
      <patternFill patternType="solid">
        <fgColor rgb="FFF0DCDF"/>
        <bgColor rgb="FFD8C3C7"/>
      </patternFill>
    </fill>
    <fill>
      <patternFill patternType="solid">
        <fgColor rgb="FFFFF3B0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C3C7"/>
      </left>
      <right style="thin">
        <color rgb="FFD8C3C7"/>
      </right>
      <top style="thin">
        <color rgb="FFD8C3C7"/>
      </top>
      <bottom style="thin">
        <color rgb="FFD8C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C3C7"/>
      <rgbColor rgb="FF7A6B70"/>
      <rgbColor rgb="FF9999FF"/>
      <rgbColor rgb="FF993366"/>
      <rgbColor rgb="FFFFFFCC"/>
      <rgbColor rgb="FFCCFFFF"/>
      <rgbColor rgb="FF660066"/>
      <rgbColor rgb="FFFF8080"/>
      <rgbColor rgb="FF0066CC"/>
      <rgbColor rgb="FFF0DCD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3B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76E79"/>
      <rgbColor rgb="FF003366"/>
      <rgbColor rgb="FF339966"/>
      <rgbColor rgb="FF003300"/>
      <rgbColor rgb="FF333300"/>
      <rgbColor rgb="FF993300"/>
      <rgbColor rgb="FF993366"/>
      <rgbColor rgb="FF333399"/>
      <rgbColor rgb="FF3B2F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fals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20"/>
  </cols>
  <sheetData>
    <row r="1" customFormat="false" ht="19.4" hidden="false" customHeight="true" outlineLevel="0" collapsed="false">
      <c r="A1" s="1" t="s">
        <v>0</v>
      </c>
      <c r="B1" s="1"/>
      <c r="C1" s="1"/>
    </row>
    <row r="2" customFormat="false" ht="22.35" hidden="false" customHeight="true" outlineLevel="0" collapsed="false">
      <c r="A2" s="2" t="s">
        <v>1</v>
      </c>
      <c r="B2" s="2"/>
      <c r="C2" s="2"/>
    </row>
    <row r="4" customFormat="false" ht="15" hidden="false" customHeight="false" outlineLevel="0" collapsed="false">
      <c r="B4" s="3" t="s">
        <v>2</v>
      </c>
      <c r="C4" s="4" t="s">
        <v>3</v>
      </c>
    </row>
    <row r="5" customFormat="false" ht="15" hidden="false" customHeight="false" outlineLevel="0" collapsed="false">
      <c r="B5" s="5" t="s">
        <v>4</v>
      </c>
      <c r="C5" s="6" t="n">
        <f aca="false">COUNTA('لیست بازار گرم'!B4:B1000)</f>
        <v>11</v>
      </c>
    </row>
    <row r="6" customFormat="false" ht="15" hidden="false" customHeight="false" outlineLevel="0" collapsed="false">
      <c r="B6" s="7" t="s">
        <v>5</v>
      </c>
      <c r="C6" s="8" t="n">
        <f aca="false">COUNTA('لیست بازار گرم'!F4:F1000)</f>
        <v>1</v>
      </c>
    </row>
    <row r="7" customFormat="false" ht="15" hidden="false" customHeight="false" outlineLevel="0" collapsed="false">
      <c r="B7" s="5" t="s">
        <v>6</v>
      </c>
      <c r="C7" s="6" t="n">
        <f aca="false">COUNTIF('لیست بازار گرم'!G4:G1000,"بله")</f>
        <v>1</v>
      </c>
    </row>
    <row r="8" customFormat="false" ht="15" hidden="false" customHeight="false" outlineLevel="0" collapsed="false">
      <c r="B8" s="7" t="s">
        <v>7</v>
      </c>
      <c r="C8" s="8" t="n">
        <f aca="false">COUNTIF('لیست بازار گرم'!H4:H1000,"بله")</f>
        <v>1</v>
      </c>
    </row>
    <row r="9" customFormat="false" ht="15" hidden="false" customHeight="false" outlineLevel="0" collapsed="false">
      <c r="B9" s="5" t="s">
        <v>8</v>
      </c>
      <c r="C9" s="6" t="n">
        <f aca="false">COUNTIF('لیست بازار گرم'!I4:I1000,"بله")</f>
        <v>1</v>
      </c>
    </row>
    <row r="10" customFormat="false" ht="15" hidden="false" customHeight="false" outlineLevel="0" collapsed="false">
      <c r="B10" s="7" t="s">
        <v>9</v>
      </c>
      <c r="C10" s="9" t="n">
        <f aca="false">SUMIF('لیست بازار گرم'!I4:I1000,"بله",'لیست بازار گرم'!K4:K1000)</f>
        <v>120</v>
      </c>
    </row>
    <row r="11" customFormat="false" ht="15" hidden="false" customHeight="false" outlineLevel="0" collapsed="false">
      <c r="B11" s="5" t="s">
        <v>10</v>
      </c>
      <c r="C11" s="10" t="n">
        <f aca="false">IFERROR(C6/C5,0)</f>
        <v>0.0909090909090909</v>
      </c>
    </row>
    <row r="12" customFormat="false" ht="15" hidden="false" customHeight="false" outlineLevel="0" collapsed="false">
      <c r="B12" s="7" t="s">
        <v>11</v>
      </c>
      <c r="C12" s="11" t="n">
        <f aca="false">IFERROR(C7/C5,0)</f>
        <v>0.0909090909090909</v>
      </c>
    </row>
    <row r="13" customFormat="false" ht="15" hidden="false" customHeight="false" outlineLevel="0" collapsed="false">
      <c r="B13" s="5" t="s">
        <v>12</v>
      </c>
      <c r="C13" s="6" t="n">
        <f aca="false">COUNTIF('لیست بازار گرم'!L4:L1000,"بله")</f>
        <v>1</v>
      </c>
    </row>
    <row r="15" customFormat="false" ht="15" hidden="false" customHeight="true" outlineLevel="0" collapsed="false">
      <c r="B15" s="12" t="s">
        <v>13</v>
      </c>
      <c r="C15" s="12"/>
    </row>
    <row r="16" customFormat="false" ht="15" hidden="false" customHeight="false" outlineLevel="0" collapsed="false">
      <c r="B16" s="7" t="s">
        <v>14</v>
      </c>
      <c r="C16" s="13" t="n">
        <v>30</v>
      </c>
    </row>
    <row r="17" customFormat="false" ht="23.85" hidden="false" customHeight="false" outlineLevel="0" collapsed="false">
      <c r="B17" s="7" t="s">
        <v>15</v>
      </c>
      <c r="C17" s="14" t="str">
        <f aca="false">IF(C9&gt;C16,"⚠️ بالای سقف — اول ظرفیت","زیر سقف ✅")</f>
        <v>زیر سقف ✅</v>
      </c>
    </row>
  </sheetData>
  <mergeCells count="3">
    <mergeCell ref="A1:C1"/>
    <mergeCell ref="A2:C2"/>
    <mergeCell ref="B15:C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4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15"/>
    <col collapsed="false" customWidth="true" hidden="false" outlineLevel="0" max="6" min="6" style="0" width="13"/>
    <col collapsed="false" customWidth="true" hidden="false" outlineLevel="0" max="8" min="7" style="0" width="11"/>
    <col collapsed="false" customWidth="true" hidden="false" outlineLevel="0" max="9" min="9" style="0" width="10"/>
    <col collapsed="false" customWidth="true" hidden="false" outlineLevel="0" max="10" min="10" style="0" width="22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3" min="13" style="0" width="12"/>
    <col collapsed="false" customWidth="true" hidden="false" outlineLevel="0" max="14" min="14" style="0" width="26"/>
  </cols>
  <sheetData>
    <row r="1" customFormat="false" ht="19.4" hidden="false" customHeight="true" outlineLevel="0" collapsed="false">
      <c r="A1" s="1" t="s">
        <v>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true" outlineLevel="0" collapsed="false">
      <c r="A2" s="2" t="s">
        <v>17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23.85" hidden="false" customHeight="false" outlineLevel="0" collapsed="false">
      <c r="A3" s="4" t="s">
        <v>18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24</v>
      </c>
      <c r="H3" s="4" t="s">
        <v>25</v>
      </c>
      <c r="I3" s="4" t="s">
        <v>26</v>
      </c>
      <c r="J3" s="4" t="s">
        <v>27</v>
      </c>
      <c r="K3" s="4" t="s">
        <v>28</v>
      </c>
      <c r="L3" s="4" t="s">
        <v>29</v>
      </c>
      <c r="M3" s="4" t="s">
        <v>30</v>
      </c>
      <c r="N3" s="4" t="s">
        <v>31</v>
      </c>
    </row>
    <row r="4" customFormat="false" ht="15" hidden="false" customHeight="false" outlineLevel="0" collapsed="false">
      <c r="A4" s="15" t="n">
        <f aca="false">ROW()-3</f>
        <v>1</v>
      </c>
      <c r="B4" s="16" t="s">
        <v>32</v>
      </c>
      <c r="C4" s="16" t="s">
        <v>33</v>
      </c>
      <c r="D4" s="16"/>
      <c r="E4" s="15"/>
      <c r="F4" s="15"/>
      <c r="G4" s="15"/>
      <c r="H4" s="15"/>
      <c r="I4" s="15"/>
      <c r="J4" s="16"/>
      <c r="K4" s="17"/>
      <c r="L4" s="15"/>
      <c r="M4" s="15"/>
      <c r="N4" s="16"/>
    </row>
    <row r="5" customFormat="false" ht="15" hidden="false" customHeight="false" outlineLevel="0" collapsed="false">
      <c r="A5" s="14" t="n">
        <f aca="false">ROW()-3</f>
        <v>2</v>
      </c>
      <c r="B5" s="18" t="s">
        <v>34</v>
      </c>
      <c r="C5" s="18" t="s">
        <v>35</v>
      </c>
      <c r="D5" s="18" t="s">
        <v>36</v>
      </c>
      <c r="E5" s="14"/>
      <c r="F5" s="14"/>
      <c r="G5" s="14"/>
      <c r="H5" s="14"/>
      <c r="I5" s="14"/>
      <c r="J5" s="18"/>
      <c r="K5" s="9"/>
      <c r="L5" s="14"/>
      <c r="M5" s="14"/>
      <c r="N5" s="18"/>
    </row>
    <row r="6" customFormat="false" ht="15" hidden="false" customHeight="false" outlineLevel="0" collapsed="false">
      <c r="A6" s="15" t="n">
        <f aca="false">ROW()-3</f>
        <v>3</v>
      </c>
      <c r="B6" s="16" t="s">
        <v>37</v>
      </c>
      <c r="C6" s="16" t="s">
        <v>38</v>
      </c>
      <c r="D6" s="16" t="s">
        <v>39</v>
      </c>
      <c r="E6" s="15"/>
      <c r="F6" s="15"/>
      <c r="G6" s="15"/>
      <c r="H6" s="15"/>
      <c r="I6" s="15"/>
      <c r="J6" s="16"/>
      <c r="K6" s="17"/>
      <c r="L6" s="15"/>
      <c r="M6" s="15"/>
      <c r="N6" s="16"/>
    </row>
    <row r="7" customFormat="false" ht="15" hidden="false" customHeight="false" outlineLevel="0" collapsed="false">
      <c r="A7" s="14" t="n">
        <f aca="false">ROW()-3</f>
        <v>4</v>
      </c>
      <c r="B7" s="18" t="s">
        <v>40</v>
      </c>
      <c r="C7" s="18" t="s">
        <v>41</v>
      </c>
      <c r="D7" s="18" t="s">
        <v>42</v>
      </c>
      <c r="E7" s="14"/>
      <c r="F7" s="14"/>
      <c r="G7" s="14"/>
      <c r="H7" s="14"/>
      <c r="I7" s="14"/>
      <c r="J7" s="18"/>
      <c r="K7" s="9"/>
      <c r="L7" s="14"/>
      <c r="M7" s="14"/>
      <c r="N7" s="18"/>
    </row>
    <row r="8" customFormat="false" ht="15" hidden="false" customHeight="false" outlineLevel="0" collapsed="false">
      <c r="A8" s="15" t="n">
        <f aca="false">ROW()-3</f>
        <v>5</v>
      </c>
      <c r="B8" s="16" t="s">
        <v>43</v>
      </c>
      <c r="C8" s="16" t="s">
        <v>44</v>
      </c>
      <c r="D8" s="16" t="s">
        <v>45</v>
      </c>
      <c r="E8" s="15"/>
      <c r="F8" s="15"/>
      <c r="G8" s="15"/>
      <c r="H8" s="15"/>
      <c r="I8" s="15"/>
      <c r="J8" s="16"/>
      <c r="K8" s="17"/>
      <c r="L8" s="15"/>
      <c r="M8" s="15"/>
      <c r="N8" s="16"/>
    </row>
    <row r="9" customFormat="false" ht="15" hidden="false" customHeight="false" outlineLevel="0" collapsed="false">
      <c r="A9" s="14" t="n">
        <f aca="false">ROW()-3</f>
        <v>6</v>
      </c>
      <c r="B9" s="18" t="s">
        <v>46</v>
      </c>
      <c r="C9" s="18" t="s">
        <v>35</v>
      </c>
      <c r="D9" s="18" t="s">
        <v>39</v>
      </c>
      <c r="E9" s="14"/>
      <c r="F9" s="14"/>
      <c r="G9" s="14"/>
      <c r="H9" s="14"/>
      <c r="I9" s="14"/>
      <c r="J9" s="18"/>
      <c r="K9" s="9"/>
      <c r="L9" s="14"/>
      <c r="M9" s="14"/>
      <c r="N9" s="18"/>
    </row>
    <row r="10" customFormat="false" ht="15" hidden="false" customHeight="false" outlineLevel="0" collapsed="false">
      <c r="A10" s="15" t="n">
        <f aca="false">ROW()-3</f>
        <v>7</v>
      </c>
      <c r="B10" s="16" t="s">
        <v>47</v>
      </c>
      <c r="C10" s="16" t="s">
        <v>48</v>
      </c>
      <c r="D10" s="16"/>
      <c r="E10" s="15"/>
      <c r="F10" s="15"/>
      <c r="G10" s="15"/>
      <c r="H10" s="15"/>
      <c r="I10" s="15"/>
      <c r="J10" s="16"/>
      <c r="K10" s="17"/>
      <c r="L10" s="15"/>
      <c r="M10" s="15"/>
      <c r="N10" s="16"/>
    </row>
    <row r="11" customFormat="false" ht="15" hidden="false" customHeight="false" outlineLevel="0" collapsed="false">
      <c r="A11" s="14" t="n">
        <f aca="false">ROW()-3</f>
        <v>8</v>
      </c>
      <c r="B11" s="18" t="s">
        <v>49</v>
      </c>
      <c r="C11" s="18" t="s">
        <v>50</v>
      </c>
      <c r="D11" s="18"/>
      <c r="E11" s="14"/>
      <c r="F11" s="14"/>
      <c r="G11" s="14"/>
      <c r="H11" s="14"/>
      <c r="I11" s="14"/>
      <c r="J11" s="18"/>
      <c r="K11" s="9"/>
      <c r="L11" s="14"/>
      <c r="M11" s="14"/>
      <c r="N11" s="18"/>
    </row>
    <row r="12" customFormat="false" ht="15" hidden="false" customHeight="false" outlineLevel="0" collapsed="false">
      <c r="A12" s="15" t="n">
        <f aca="false">ROW()-3</f>
        <v>9</v>
      </c>
      <c r="B12" s="16" t="s">
        <v>51</v>
      </c>
      <c r="C12" s="16" t="s">
        <v>38</v>
      </c>
      <c r="D12" s="16" t="s">
        <v>45</v>
      </c>
      <c r="E12" s="15"/>
      <c r="F12" s="15"/>
      <c r="G12" s="15"/>
      <c r="H12" s="15"/>
      <c r="I12" s="15"/>
      <c r="J12" s="16"/>
      <c r="K12" s="17"/>
      <c r="L12" s="15"/>
      <c r="M12" s="15"/>
      <c r="N12" s="16"/>
    </row>
    <row r="13" customFormat="false" ht="23.85" hidden="false" customHeight="false" outlineLevel="0" collapsed="false">
      <c r="A13" s="14" t="n">
        <f aca="false">ROW()-3</f>
        <v>10</v>
      </c>
      <c r="B13" s="18" t="s">
        <v>52</v>
      </c>
      <c r="C13" s="18" t="s">
        <v>53</v>
      </c>
      <c r="D13" s="18"/>
      <c r="E13" s="14"/>
      <c r="F13" s="14"/>
      <c r="G13" s="14"/>
      <c r="H13" s="14"/>
      <c r="I13" s="14"/>
      <c r="J13" s="18"/>
      <c r="K13" s="9"/>
      <c r="L13" s="14"/>
      <c r="M13" s="14"/>
      <c r="N13" s="18"/>
    </row>
    <row r="14" customFormat="false" ht="23.85" hidden="false" customHeight="false" outlineLevel="0" collapsed="false">
      <c r="A14" s="15" t="n">
        <f aca="false">ROW()-3</f>
        <v>11</v>
      </c>
      <c r="B14" s="16" t="s">
        <v>54</v>
      </c>
      <c r="C14" s="16" t="s">
        <v>35</v>
      </c>
      <c r="D14" s="16" t="s">
        <v>36</v>
      </c>
      <c r="E14" s="15" t="s">
        <v>55</v>
      </c>
      <c r="F14" s="15" t="s">
        <v>56</v>
      </c>
      <c r="G14" s="15" t="s">
        <v>57</v>
      </c>
      <c r="H14" s="15" t="s">
        <v>57</v>
      </c>
      <c r="I14" s="15" t="s">
        <v>57</v>
      </c>
      <c r="J14" s="16" t="s">
        <v>58</v>
      </c>
      <c r="K14" s="17" t="n">
        <v>120</v>
      </c>
      <c r="L14" s="15" t="s">
        <v>57</v>
      </c>
      <c r="M14" s="15" t="s">
        <v>59</v>
      </c>
      <c r="N14" s="16" t="s">
        <v>60</v>
      </c>
    </row>
  </sheetData>
  <mergeCells count="2">
    <mergeCell ref="A1:N1"/>
    <mergeCell ref="A2:N2"/>
  </mergeCells>
  <dataValidations count="8">
    <dataValidation allowBlank="true" errorStyle="stop" operator="between" showDropDown="false" showErrorMessage="false" showInputMessage="false" sqref="G4:G200" type="list">
      <formula1>"بله,خیر,منتظر"</formula1>
      <formula2>0</formula2>
    </dataValidation>
    <dataValidation allowBlank="true" errorStyle="stop" operator="between" showDropDown="false" showErrorMessage="false" showInputMessage="false" sqref="H4:H200" type="list">
      <formula1>"بله,خیر,منتظر"</formula1>
      <formula2>0</formula2>
    </dataValidation>
    <dataValidation allowBlank="true" errorStyle="stop" operator="between" showDropDown="false" showErrorMessage="false" showInputMessage="false" sqref="I4:I200" type="list">
      <formula1>"بله,خیر,منتظر"</formula1>
      <formula2>0</formula2>
    </dataValidation>
    <dataValidation allowBlank="true" errorStyle="stop" operator="between" showDropDown="false" showErrorMessage="false" showInputMessage="false" sqref="L4:L200" type="list">
      <formula1>"بله,خیر,منتظر"</formula1>
      <formula2>0</formula2>
    </dataValidation>
    <dataValidation allowBlank="true" errorStyle="stop" operator="between" showDropDown="false" showErrorMessage="false" showInputMessage="false" sqref="E4:E200" type="list">
      <formula1>"DM اینستاگرام,واتساپ,تلگرام,حضوری,گروهِ سیدنی,معرفی"</formula1>
      <formula2>0</formula2>
    </dataValidation>
    <dataValidation allowBlank="true" errorStyle="stop" operator="between" showDropDown="false" showErrorMessage="false" showInputMessage="false" sqref="D4:D200" type="list">
      <formula1>"تولد,نامزدی,خانه‌تکونی,سالگرد,روزِ پدر,یلدا,سایر"</formula1>
      <formula2>0</formula2>
    </dataValidation>
    <dataValidation allowBlank="true" errorStyle="stop" operator="between" showDropDown="false" showErrorMessage="false" showInputMessage="false" sqref="J4:J200" type="list">
      <formula1>"گل‌آراییِ مصنوعی,سبدِ هدیه,شادوباکسِ گلِ قاب‌شده,همپرِ شکلات"</formula1>
      <formula2>0</formula2>
    </dataValidation>
    <dataValidation allowBlank="true" errorStyle="stop" operator="between" showDropDown="false" showErrorMessage="false" showInputMessage="false" sqref="M4:M200" type="list">
      <formula1>"محلی,پُستی,تحویل‌شده,منتظر"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34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22"/>
  </cols>
  <sheetData>
    <row r="1" customFormat="false" ht="19.4" hidden="false" customHeight="true" outlineLevel="0" collapsed="false">
      <c r="A1" s="1" t="s">
        <v>61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4" t="s">
        <v>18</v>
      </c>
      <c r="B3" s="4" t="s">
        <v>22</v>
      </c>
      <c r="C3" s="4" t="s">
        <v>62</v>
      </c>
      <c r="D3" s="4" t="s">
        <v>63</v>
      </c>
      <c r="E3" s="4" t="s">
        <v>64</v>
      </c>
      <c r="F3" s="4" t="s">
        <v>8</v>
      </c>
      <c r="G3" s="4" t="s">
        <v>65</v>
      </c>
    </row>
    <row r="4" customFormat="false" ht="15" hidden="false" customHeight="false" outlineLevel="0" collapsed="false">
      <c r="A4" s="15" t="n">
        <f aca="false">ROW()-3</f>
        <v>1</v>
      </c>
      <c r="B4" s="16" t="s">
        <v>66</v>
      </c>
      <c r="C4" s="16" t="s">
        <v>67</v>
      </c>
      <c r="D4" s="17" t="n">
        <v>0</v>
      </c>
      <c r="E4" s="16" t="s">
        <v>68</v>
      </c>
      <c r="F4" s="15"/>
      <c r="G4" s="16"/>
    </row>
    <row r="5" customFormat="false" ht="15" hidden="false" customHeight="false" outlineLevel="0" collapsed="false">
      <c r="A5" s="14" t="n">
        <f aca="false">ROW()-3</f>
        <v>2</v>
      </c>
      <c r="B5" s="18" t="s">
        <v>69</v>
      </c>
      <c r="C5" s="18" t="s">
        <v>70</v>
      </c>
      <c r="D5" s="9" t="n">
        <v>0</v>
      </c>
      <c r="E5" s="18" t="s">
        <v>68</v>
      </c>
      <c r="F5" s="14"/>
      <c r="G5" s="18"/>
    </row>
    <row r="6" customFormat="false" ht="15" hidden="false" customHeight="false" outlineLevel="0" collapsed="false">
      <c r="A6" s="15" t="n">
        <f aca="false">ROW()-3</f>
        <v>3</v>
      </c>
      <c r="B6" s="16" t="s">
        <v>71</v>
      </c>
      <c r="C6" s="16" t="s">
        <v>72</v>
      </c>
      <c r="D6" s="17" t="n">
        <v>0</v>
      </c>
      <c r="E6" s="16" t="s">
        <v>68</v>
      </c>
      <c r="F6" s="15"/>
      <c r="G6" s="16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2026-07-04T01:57:42Z</dcterms:created>
  <dc:creator>openpyxl</dc:creator>
  <dc:description/>
  <dc:language>en-US</dc:language>
  <cp:lastModifiedBy/>
  <dcterms:modified xsi:type="dcterms:W3CDTF">2026-07-04T01:57:42Z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