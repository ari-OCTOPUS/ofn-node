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Ledger" sheetId="2" state="visible" r:id="rId4"/>
    <sheet name="Registry" sheetId="3" state="visible" r:id="rId5"/>
    <sheet name="Monthly" sheetId="4" state="visible" r:id="rId6"/>
    <sheet name="Categories" sheetId="5" state="visible" r:id="rId7"/>
    <sheet name="Flags" sheetId="6" state="visible" r:id="rId8"/>
    <sheet name="Recon" sheetId="7" state="visible" r:id="rId9"/>
  </sheets>
  <definedNames>
    <definedName function="false" hidden="true" localSheetId="1" name="_xlnm._FilterDatabase" vbProcedure="false">Ledger!$A$1:$O$317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<sst xmlns="http://schemas.openxmlformats.org/spreadsheetml/2006/main" count="2700" uniqueCount="744">
  <si>
    <t xml:space="preserve">MASTER PAINTING AND MAINTENANCE AND DESIGN PTY LTD — ANZ Business Essentials (BSB 012-233, Acct 6542-14278)</t>
  </si>
  <si>
    <t xml:space="preserve">DRAFT ONLY — [Unverified: Registered Tax Agent to confirm]. This workbook never lodges anything; all figures are proposals.</t>
  </si>
  <si>
    <t xml:space="preserve">RULES APPLIED (locked): GST candidate = amount/11 for GST-inclusive business expenses only; interest/fees/wages/transfers = 0.</t>
  </si>
  <si>
    <t xml:space="preserve">Dedup: content-hash txn_id (account|date|desc|amounts|balance). Re-ingesting the same statement cannot create duplicates.</t>
  </si>
  <si>
    <t xml:space="preserve">Reconciliation: every statement passed opening + deposits - withdrawals = closing, and per-row running balance (316/316 rows).</t>
  </si>
  <si>
    <t xml:space="preserve">LEGEND: yellow cells = draft values awaiting OWNER verdict (category/scope). Blue text = hardcoded inputs. Black = formulas.</t>
  </si>
  <si>
    <t xml:space="preserve">Sheets: Ledger (all txns) · Registry (statements + gaps) · Monthly · Categories · Flags · Recon.</t>
  </si>
  <si>
    <t xml:space="preserve">Source: 5 original ANZ statement PDFs (canonical copies in Statements/), parsed 2026-07-13 by FinOS ingest per blueprint §5.</t>
  </si>
  <si>
    <t xml:space="preserve">Coverage gaps: statements #1-3, #5-7, #9-22, #25 NOT provided — obtain from ANZ to complete FY2024-25 and FY2025-26.</t>
  </si>
  <si>
    <t xml:space="preserve">txn_id</t>
  </si>
  <si>
    <t xml:space="preserve">date</t>
  </si>
  <si>
    <t xml:space="preserve">stmt</t>
  </si>
  <si>
    <t xml:space="preserve">description</t>
  </si>
  <si>
    <t xml:space="preserve">withdrawal</t>
  </si>
  <si>
    <t xml:space="preserve">deposit</t>
  </si>
  <si>
    <t xml:space="preserve">balance</t>
  </si>
  <si>
    <t xml:space="preserve">category_draft</t>
  </si>
  <si>
    <t xml:space="preserve">scope</t>
  </si>
  <si>
    <t xml:space="preserve">confidence</t>
  </si>
  <si>
    <t xml:space="preserve">gst_applicable</t>
  </si>
  <si>
    <t xml:space="preserve">gst_candidate</t>
  </si>
  <si>
    <t xml:space="preserve">flags</t>
  </si>
  <si>
    <t xml:space="preserve">needs_review</t>
  </si>
  <si>
    <t xml:space="preserve">month</t>
  </si>
  <si>
    <t xml:space="preserve">ANZ-BE-537c99451cbc</t>
  </si>
  <si>
    <t xml:space="preserve">VISA DEBIT PURCHASE CARD 5746 | 7-ELEVEN 2025 NORTH ROCKS | EFFECTIVE DATE 19 MAR 2024</t>
  </si>
  <si>
    <t xml:space="preserve">Fuel</t>
  </si>
  <si>
    <t xml:space="preserve">business</t>
  </si>
  <si>
    <t xml:space="preserve">Y</t>
  </si>
  <si>
    <t xml:space="preserve">N</t>
  </si>
  <si>
    <t xml:space="preserve">2024-03</t>
  </si>
  <si>
    <t xml:space="preserve">ANZ-BE-314dcf290c16</t>
  </si>
  <si>
    <t xml:space="preserve">EFTPOS | ASTEC PAINTS AUST ALEXANDRIA NSWAU</t>
  </si>
  <si>
    <t xml:space="preserve">Materials-Tools</t>
  </si>
  <si>
    <t xml:space="preserve">ANZ-BE-398c9c00bcf4</t>
  </si>
  <si>
    <t xml:space="preserve">ANZ MOBILE BANKING PAYMENT 581694 | TO ARMIN MOHEBIAFZAP | EFFECTIVE DATE 23 MAR 2024</t>
  </si>
  <si>
    <t xml:space="preserve">Associate-Payment</t>
  </si>
  <si>
    <t xml:space="preserve">[OPEN]</t>
  </si>
  <si>
    <t xml:space="preserve">ASSOCIATE:Armin;DIV7A-CANDIDATE</t>
  </si>
  <si>
    <t xml:space="preserve">ANZ-BE-b1a65481cf1e</t>
  </si>
  <si>
    <t xml:space="preserve">ANZ MOBILE BANKING PAYMENT 088730 | TO ARMIN MOHEBIAFZAP</t>
  </si>
  <si>
    <t xml:space="preserve">ANZ-BE-0047cdc2e66a</t>
  </si>
  <si>
    <t xml:space="preserve">ANZ MOBILE BANKING PAYMENT 583363 | TO ARMIN MOHEBIAFZAP</t>
  </si>
  <si>
    <t xml:space="preserve">ANZ-BE-efb9333410e8</t>
  </si>
  <si>
    <t xml:space="preserve">ANZ MOBILE BANKING PAYMENT 746999 | TO ARMIN MOHEBIAFZAP</t>
  </si>
  <si>
    <t xml:space="preserve">ANZ-BE-7bead8d82347</t>
  </si>
  <si>
    <t xml:space="preserve">ANZ MOBILE BANKING PAYMENT 062502 | TO ARMIN MOHEBIAFZAP</t>
  </si>
  <si>
    <t xml:space="preserve">ANZ-BE-6ef45a0cfab1</t>
  </si>
  <si>
    <t xml:space="preserve">VISA DEBIT PURCHASE CARD 5746 | COLES EXPRESS 1639 BAULKHAM H | EFFECTIVE DATE 26 MAR 2024</t>
  </si>
  <si>
    <t xml:space="preserve">ANZ-BE-af3fe96aef35</t>
  </si>
  <si>
    <t xml:space="preserve">PAYMENT FROM SCHONBERGER | INV 22 40% | EFFECTIVE DATE 01 APR 2024</t>
  </si>
  <si>
    <t xml:space="preserve">Income-Candidate</t>
  </si>
  <si>
    <t xml:space="preserve">2024-04</t>
  </si>
  <si>
    <t xml:space="preserve">ANZ-BE-64a8a265a197</t>
  </si>
  <si>
    <t xml:space="preserve">ANZ MOBILE BANKING PAYMENT 139859 | TO ARMIN MOHEBIAFZAP | EFFECTIVE DATE 29 MAR 2024</t>
  </si>
  <si>
    <t xml:space="preserve">ANZ-BE-ba0dcd18960a</t>
  </si>
  <si>
    <t xml:space="preserve">ANZ MOBILE BANKING PAYMENT 206793 | TO ARMIN MOHEBIAFZAP | EFFECTIVE DATE 30 MAR 2024</t>
  </si>
  <si>
    <t xml:space="preserve">ANZ-BE-840be53a709a</t>
  </si>
  <si>
    <t xml:space="preserve">ANZ MOBILE BANKING PAYMENT 908897 | TO ARMIN MOHEBIAFZAP</t>
  </si>
  <si>
    <t xml:space="preserve">ANZ-BE-b1e61b4e660a</t>
  </si>
  <si>
    <t xml:space="preserve">ANZ MOBILE BANKING PAYMENT 405863 | TO ARMIN MOHEBIAFZAP</t>
  </si>
  <si>
    <t xml:space="preserve">ANZ-BE-bdd663851062</t>
  </si>
  <si>
    <t xml:space="preserve">ANZ MOBILE BANKING PAYMENT 407124 | TO ARMIN MOHEBIAFZAP</t>
  </si>
  <si>
    <t xml:space="preserve">ANZ-BE-57b08f0da702</t>
  </si>
  <si>
    <t xml:space="preserve">VISA DEBIT PURCHASE CARD 5746 | GOOGLE ADS7165786750 SYDNEY | EFFECTIVE DATE 02 APR 2024</t>
  </si>
  <si>
    <t xml:space="preserve">Software-Subscriptions</t>
  </si>
  <si>
    <t xml:space="preserve">ANZ-BE-e5d7646a95fc</t>
  </si>
  <si>
    <t xml:space="preserve">ANZ MOBILE BANKING PAYMENT 160491 | TO ARMIN MOHEBIAFZAP</t>
  </si>
  <si>
    <t xml:space="preserve">ANZ-BE-433634a4821b</t>
  </si>
  <si>
    <t xml:space="preserve">ANZ MOBILE BANKING PAYMENT 380416 | TO ARMIN MOHEBIAFZAP</t>
  </si>
  <si>
    <t xml:space="preserve">ANZ-BE-3a8c1122881c</t>
  </si>
  <si>
    <t xml:space="preserve">ANZ MOBILE BANKING PAYMENT 600546 | TO ARMIN MOHEBIAFZAP</t>
  </si>
  <si>
    <t xml:space="preserve">ANZ-BE-889748af6844</t>
  </si>
  <si>
    <t xml:space="preserve">ANZ MOBILE BANKING PAYMENT 619003 | TO ARMIN MOHEBIAFZAP</t>
  </si>
  <si>
    <t xml:space="preserve">ANZ-BE-0e4eabd6d4fe</t>
  </si>
  <si>
    <t xml:space="preserve">ANZ MOBILE BANKING PAYMENT 106180 | TO ARMIN MOHEBIAFZAP | EFFECTIVE DATE 07 APR 2024</t>
  </si>
  <si>
    <t xml:space="preserve">ANZ-BE-addb5449fe28</t>
  </si>
  <si>
    <t xml:space="preserve">VISA DEBIT PURCHASE CARD 5746 | EG GROUP/41-45 THIRD AVE BLACKTOWN | EFFECTIVE DATE 06 APR 2024</t>
  </si>
  <si>
    <t xml:space="preserve">ANZ-BE-8627d9990e3a</t>
  </si>
  <si>
    <t xml:space="preserve">ANZ MOBILE BANKING PAYMENT 277967 | TO ARMIN MOHEBIAFZAP | EFFECTIVE DATE 06 APR 2024</t>
  </si>
  <si>
    <t xml:space="preserve">ANZ-BE-85e0865e1a7e</t>
  </si>
  <si>
    <t xml:space="preserve">VISA DEBIT PURCHASE CARD 5746 | 7-ELEVEN 2025 NORTH ROCKS | EFFECTIVE DATE 05 APR 2024</t>
  </si>
  <si>
    <t xml:space="preserve">ANZ-BE-6558d64f53b6</t>
  </si>
  <si>
    <t xml:space="preserve">ANZ MOBILE BANKING PAYMENT 668260 | TO ARMIN MOHEBIAFZAP | EFFECTIVE DATE 06 APR 2024</t>
  </si>
  <si>
    <t xml:space="preserve">ANZ-BE-635fddc6171d</t>
  </si>
  <si>
    <t xml:space="preserve">ANZ MOBILE BANKING PAYMENT 711905 | TO ARMIN MOHEBIAFZAP</t>
  </si>
  <si>
    <t xml:space="preserve">ANZ-BE-42e0a4e35258</t>
  </si>
  <si>
    <t xml:space="preserve">ANZ MOBILE BANKING PAYMENT 919502 | TO ARMIN MOHEBIAFZAP | EFFECTIVE DATE 07 APR 2024</t>
  </si>
  <si>
    <t xml:space="preserve">ANZ-BE-b8ba3678d7b0</t>
  </si>
  <si>
    <t xml:space="preserve">VISA DEBIT PURCHASE CARD 5746 | BUNNINGS 339000 CASTLE HILL | EFFECTIVE DATE 07 APR 2024</t>
  </si>
  <si>
    <t xml:space="preserve">ANZ-BE-7893dcdb3b87</t>
  </si>
  <si>
    <t xml:space="preserve">VISA DEBIT PURCHASE CARD 5746 | DULUX CASTLE HILL CASTLE HILL | EFFECTIVE DATE 06 APR 2024</t>
  </si>
  <si>
    <t xml:space="preserve">ANZ-BE-cc12a76203c6</t>
  </si>
  <si>
    <t xml:space="preserve">VISA DEBIT PURCHASE CARD 5746 | 7-ELEVEN 2254 NORTH RYDE | EFFECTIVE DATE 09 APR 2024</t>
  </si>
  <si>
    <t xml:space="preserve">ANZ-BE-42ce32b76e41</t>
  </si>
  <si>
    <t xml:space="preserve">ANZ-BE-3be1f18ac452</t>
  </si>
  <si>
    <t xml:space="preserve">ANZ MOBILE BANKING PAYMENT 900343 | TO ARMIN MOHEBIAFZAP</t>
  </si>
  <si>
    <t xml:space="preserve">ANZ-BE-c8281029cc86</t>
  </si>
  <si>
    <t xml:space="preserve">ANZ MOBILE BANKING PAYMENT 358557 | TO ARMIN MOHEBIAFZAP | EFFECTIVE DATE 14 APR 2024</t>
  </si>
  <si>
    <t xml:space="preserve">ANZ-BE-da7f9f56614a</t>
  </si>
  <si>
    <t xml:space="preserve">ANZ MOBILE BANKING PAYMENT 726883 | TO ARMIN MOHEBIAFZAP</t>
  </si>
  <si>
    <t xml:space="preserve">ANZ-BE-9ff6c19b445f</t>
  </si>
  <si>
    <t xml:space="preserve">VISA DEBIT PURCHASE CARD 5746 | 7-ELEVEN 2219 EPPING | EFFECTIVE DATE 13 APR 2024</t>
  </si>
  <si>
    <t xml:space="preserve">ANZ-BE-a77532752820</t>
  </si>
  <si>
    <t xml:space="preserve">VISA DEBIT PURCHASE CARD 5746 | SYDNEY-TEHRAN GROUP PL DURAL | EFFECTIVE DATE 12 APR 2024</t>
  </si>
  <si>
    <t xml:space="preserve">Misc</t>
  </si>
  <si>
    <t xml:space="preserve">ANZ-BE-ced0c3fe5d6c</t>
  </si>
  <si>
    <t xml:space="preserve">ANZ MOBILE BANKING PAYMENT 673635 | TO ARMIN MOHEBIAFZAP | EFFECTIVE DATE 13 APR 2024</t>
  </si>
  <si>
    <t xml:space="preserve">ANZ-BE-403e5ec83724</t>
  </si>
  <si>
    <t xml:space="preserve">ANZ MOBILE BANKING PAYMENT 142437 | TO ARMIN MOHEBIAFZAP</t>
  </si>
  <si>
    <t xml:space="preserve">ANZ-BE-bcebc3fa842e</t>
  </si>
  <si>
    <t xml:space="preserve">ANZ-BE-609c9fd75165</t>
  </si>
  <si>
    <t xml:space="preserve">PAYMENT FROM SCHONBERGER | INV 23 BALANCE</t>
  </si>
  <si>
    <t xml:space="preserve">ANZ-BE-8bda9d34d586</t>
  </si>
  <si>
    <t xml:space="preserve">PAYMENT | TO XEROAUSTRALIAPTY XEROAUINV_PVMME33D</t>
  </si>
  <si>
    <t xml:space="preserve">ANZ-BE-3034d750fc61</t>
  </si>
  <si>
    <t xml:space="preserve">EFTPOS | COLES EXPRESS 1587 NORTHMEAD AU</t>
  </si>
  <si>
    <t xml:space="preserve">ANZ-BE-ebae936dba64</t>
  </si>
  <si>
    <t xml:space="preserve">VISA DEBIT PURCHASE CARD 5746 | DULUX CASTLE HILL CASTLE HILL | EFFECTIVE DATE 13 APR 2024</t>
  </si>
  <si>
    <t xml:space="preserve">ANZ-BE-ffe7d0e7ddce</t>
  </si>
  <si>
    <t xml:space="preserve">EFTPOS | INSP PAINT CHATSWOOD CHATSWOOD AU</t>
  </si>
  <si>
    <t xml:space="preserve">ANZ-BE-4fee19c81a1f</t>
  </si>
  <si>
    <t xml:space="preserve">ANZ MOBILE BANKING PAYMENT 863736 | TO ARMIN MOHEBIAFZAP</t>
  </si>
  <si>
    <t xml:space="preserve">ANZ-BE-4479aa832708</t>
  </si>
  <si>
    <t xml:space="preserve">PAYMENT | TO TRANSPORT FOR NS ETOLL3825523745</t>
  </si>
  <si>
    <t xml:space="preserve">Vehicle-Tolls</t>
  </si>
  <si>
    <t xml:space="preserve">2024-07</t>
  </si>
  <si>
    <t xml:space="preserve">ANZ-BE-dc699c099310</t>
  </si>
  <si>
    <t xml:space="preserve">PAYMENT FROM ARMIN MOHEBIAFZAL</t>
  </si>
  <si>
    <t xml:space="preserve">Associate-Inflow</t>
  </si>
  <si>
    <t xml:space="preserve">ASSOCIATE:Armin</t>
  </si>
  <si>
    <t xml:space="preserve">ANZ-BE-812281f50822</t>
  </si>
  <si>
    <t xml:space="preserve">ANZ-BE-702a2b808462</t>
  </si>
  <si>
    <t xml:space="preserve">PAYMENT | TO TRANSPORT FOR NS ETOLL3826481103</t>
  </si>
  <si>
    <t xml:space="preserve">ANZ-BE-2d6da07b33c6</t>
  </si>
  <si>
    <t xml:space="preserve">PAYMENT | TO TRANSPORT FOR NS ETOLL3828476540</t>
  </si>
  <si>
    <t xml:space="preserve">ANZ-BE-6243244dc3f4</t>
  </si>
  <si>
    <t xml:space="preserve">PAYMENT FROM REZA MASHHOORI</t>
  </si>
  <si>
    <t xml:space="preserve">REZA-IDENTITY(OQ7)</t>
  </si>
  <si>
    <t xml:space="preserve">ANZ-BE-16ced6ed37e1</t>
  </si>
  <si>
    <t xml:space="preserve">ANZ MOBILE BANKING PAYMENT 250312 | TO ARMIN MOHEBIAFZAP</t>
  </si>
  <si>
    <t xml:space="preserve">ANZ-BE-1f30fff4f154</t>
  </si>
  <si>
    <t xml:space="preserve">ANZ MOBILE BANKING PAYMENT 040331 | TO ARMIN MOHEBIAFZAP</t>
  </si>
  <si>
    <t xml:space="preserve">ANZ-BE-a5281ee3309b</t>
  </si>
  <si>
    <t xml:space="preserve">PAYMENT | TO TRANSPORT FOR NS ETOLL3830193427</t>
  </si>
  <si>
    <t xml:space="preserve">ANZ-BE-08e79ef7332e</t>
  </si>
  <si>
    <t xml:space="preserve">VISA DEBIT PURCHASE CARD 5746 | 7-ELEVEN 2219 EPPING | EFFECTIVE DATE 29 JUL 2024</t>
  </si>
  <si>
    <t xml:space="preserve">ANZ-BE-3ea633544850</t>
  </si>
  <si>
    <t xml:space="preserve">ANZ MOBILE BANKING PAYMENT 974401 | TO ARMIN MOHEBIAFZAP</t>
  </si>
  <si>
    <t xml:space="preserve">ANZ-BE-bf1632808b88</t>
  </si>
  <si>
    <t xml:space="preserve">ANZ MOBILE BANKING PAYMENT 973585 | TO ARMIN MOHEBIAFZAP</t>
  </si>
  <si>
    <t xml:space="preserve">ANZ-BE-412f2d05bc23</t>
  </si>
  <si>
    <t xml:space="preserve">DEBIT INTEREST CHARGED</t>
  </si>
  <si>
    <t xml:space="preserve">Bank-Interest-Fees</t>
  </si>
  <si>
    <t xml:space="preserve">ANZ-BE-bf8aa81eda58</t>
  </si>
  <si>
    <t xml:space="preserve">EFTPOS | COLES EXPRESS 1639 BAULKHAM H AU</t>
  </si>
  <si>
    <t xml:space="preserve">2024-08</t>
  </si>
  <si>
    <t xml:space="preserve">ANZ-BE-0d82035b0e34</t>
  </si>
  <si>
    <t xml:space="preserve">VISA DEBIT PURCHASE CARD 5746 | CASTLE HILL PAINT GA CASTLE HILL | EFFECTIVE DATE 30 JUL 2024</t>
  </si>
  <si>
    <t xml:space="preserve">ANZ-BE-0f52d7312714</t>
  </si>
  <si>
    <t xml:space="preserve">ANZ MOBILE BANKING PAYMENT 741096 | TO ARMIN MOHEBIAFZAP | EFFECTIVE DATE 04 AUG 2024</t>
  </si>
  <si>
    <t xml:space="preserve">ANZ-BE-dda04aceb2c6</t>
  </si>
  <si>
    <t xml:space="preserve">VISA DEBIT PURCHASE CARD 5746 | BUNNINGS 579000 NARRABEEN | EFFECTIVE DATE 01 AUG 2024</t>
  </si>
  <si>
    <t xml:space="preserve">ANZ-BE-85a7d215af5e</t>
  </si>
  <si>
    <t xml:space="preserve">ANZ MOBILE BANKING PAYMENT 819805 | TO ARMIN MOHEBIAFZAP</t>
  </si>
  <si>
    <t xml:space="preserve">ANZ-BE-ecf0c53d0534</t>
  </si>
  <si>
    <t xml:space="preserve">ANZ MOBILE BANKING PAYMENT 928936 | TO ARMIN MOHEBIAFZAP</t>
  </si>
  <si>
    <t xml:space="preserve">ANZ-BE-7f1129d6f26c</t>
  </si>
  <si>
    <t xml:space="preserve">PAYMENT FROM MOMENTUM PROJECT GROUP PTY | MP DESIGN PTY LTD</t>
  </si>
  <si>
    <t xml:space="preserve">ANZ-BE-a3d7a69c0a5c</t>
  </si>
  <si>
    <t xml:space="preserve">ANZ MOBILE BANKING PAYMENT 281384 | TO ARMIN MOHEBIAFZAP</t>
  </si>
  <si>
    <t xml:space="preserve">ANZ-BE-a3426f5ed72f</t>
  </si>
  <si>
    <t xml:space="preserve">VISA DEBIT PURCHASE CARD 5746 | BP NORTH ROCKS NORTH ROCKS | EFFECTIVE DATE 06 AUG 2024</t>
  </si>
  <si>
    <t xml:space="preserve">ANZ-BE-979f762ab4a8</t>
  </si>
  <si>
    <t xml:space="preserve">ANZ MOBILE BANKING PAYMENT 088103 | TO ARMIN MOHEBIAFZAP</t>
  </si>
  <si>
    <t xml:space="preserve">ANZ-BE-191165ace546</t>
  </si>
  <si>
    <t xml:space="preserve">VISA DEBIT PURCHASE CARD 5746 | 7-ELEVEN 2025 NORTH ROCKS | EFFECTIVE DATE 10 AUG 2024</t>
  </si>
  <si>
    <t xml:space="preserve">ANZ-BE-6949a4a5647b</t>
  </si>
  <si>
    <t xml:space="preserve">ANZ MOBILE BANKING PAYMENT 235131 | TO ARMIN MOHEBIAFZAP | EFFECTIVE DATE 10 AUG 2024</t>
  </si>
  <si>
    <t xml:space="preserve">ANZ-BE-214d85680b87</t>
  </si>
  <si>
    <t xml:space="preserve">ANZ MOBILE BANKING PAYMENT 936678 | TO ARMIN MOHEBIAFZAP</t>
  </si>
  <si>
    <t xml:space="preserve">ANZ-BE-59968b1eb807</t>
  </si>
  <si>
    <t xml:space="preserve">ANZ MOBILE BANKING PAYMENT 217281 | TO ARMIN MOHEBIAFZAP | EFFECTIVE DATE 10 AUG 2024</t>
  </si>
  <si>
    <t xml:space="preserve">ANZ-BE-450ff0d3ce3c</t>
  </si>
  <si>
    <t xml:space="preserve">VISA DEBIT PURCHASE CARD 5746 | 7-ELEVEN 2205 WEST PENNANT | EFFECTIVE DATE 11 AUG 2024</t>
  </si>
  <si>
    <t xml:space="preserve">ANZ-BE-cb4ddbae83fd</t>
  </si>
  <si>
    <t xml:space="preserve">ANZ MOBILE BANKING PAYMENT 795637 | TO ARMIN MOHEBIAFZAP</t>
  </si>
  <si>
    <t xml:space="preserve">ANZ-BE-15cf9ea484c1</t>
  </si>
  <si>
    <t xml:space="preserve">ANZ MOBILE BANKING PAYMENT 177290 | TO ARMIN MOHEBIAFZAP</t>
  </si>
  <si>
    <t xml:space="preserve">ANZ-BE-d0e878878e16</t>
  </si>
  <si>
    <t xml:space="preserve">ANZ-BE-2548e3932b5a</t>
  </si>
  <si>
    <t xml:space="preserve">ANZ MOBILE BANKING PAYMENT 279375 | TO ARMIN MOHEBIAFZAP</t>
  </si>
  <si>
    <t xml:space="preserve">ANZ-BE-5116074232d8</t>
  </si>
  <si>
    <t xml:space="preserve">ANZ MOBILE BANKING PAYMENT 410326 | TO ARMIN MOHEBIAFZAP</t>
  </si>
  <si>
    <t xml:space="preserve">ANZ-BE-5aed4eebe1c8</t>
  </si>
  <si>
    <t xml:space="preserve">ANZ MOBILE BANKING PAYMENT 779805 | TO ARMIN MOHEBIAFZAP</t>
  </si>
  <si>
    <t xml:space="preserve">ANZ-BE-0cc3e8330fe4</t>
  </si>
  <si>
    <t xml:space="preserve">ANZ MOBILE BANKING PAYMENT 901395 | TO ARMIN MOHEBIAFZAP</t>
  </si>
  <si>
    <t xml:space="preserve">ANZ-BE-87abb0b16170</t>
  </si>
  <si>
    <t xml:space="preserve">PAYMENT | TO XEROAUSTRALIAPTY XEROAUINV_QFUYPSB3</t>
  </si>
  <si>
    <t xml:space="preserve">ANZ-BE-6e81f9eb25d7</t>
  </si>
  <si>
    <t xml:space="preserve">ANZ MOBILE BANKING PAYMENT 548198 | TO ARMIN MOHEBIAFZAP | EFFECTIVE DATE 17 AUG 2024</t>
  </si>
  <si>
    <t xml:space="preserve">ANZ-BE-03457cf549e8</t>
  </si>
  <si>
    <t xml:space="preserve">ANZ MOBILE BANKING PAYMENT 836560 | TO ARMIN MOHEBIAFZAP | EFFECTIVE DATE 18 AUG 2024</t>
  </si>
  <si>
    <t xml:space="preserve">ANZ-BE-791aee3e86c0</t>
  </si>
  <si>
    <t xml:space="preserve">ANZ MOBILE BANKING PAYMENT 925852 | TO ARMIN MOHEBIAFZAP | EFFECTIVE DATE 18 AUG 2024</t>
  </si>
  <si>
    <t xml:space="preserve">ANZ-BE-0a1404d33152</t>
  </si>
  <si>
    <t xml:space="preserve">ANZ MOBILE BANKING PAYMENT 543315 | TO ARMIN MOHEBIAFZAP</t>
  </si>
  <si>
    <t xml:space="preserve">ANZ-BE-8aa30159170e</t>
  </si>
  <si>
    <t xml:space="preserve">VISA DEBIT PURCHASE CARD 5746 | CASTLE HILL PAINT GA CASTLE HILL | EFFECTIVE DATE 16 AUG 2024</t>
  </si>
  <si>
    <t xml:space="preserve">ANZ-BE-f9241de668a0</t>
  </si>
  <si>
    <t xml:space="preserve">TRANSFER | FROM BELLE PROPERTY L BELLE LANE COVE</t>
  </si>
  <si>
    <t xml:space="preserve">ANZ-BE-68efad0c96ea</t>
  </si>
  <si>
    <t xml:space="preserve">ANZ MOBILE BANKING PAYMENT 589116 | TO ARMIN MOHEBIAFZAP</t>
  </si>
  <si>
    <t xml:space="preserve">ANZ-BE-0bbcc03741ad</t>
  </si>
  <si>
    <t xml:space="preserve">EFTPOS | CASTLE HILL PAINT GA CASTLE HILL NSWAU</t>
  </si>
  <si>
    <t xml:space="preserve">2025-10</t>
  </si>
  <si>
    <t xml:space="preserve">ANZ-BE-828496161fb4</t>
  </si>
  <si>
    <t xml:space="preserve">ANZ-BE-95d8d93af53f</t>
  </si>
  <si>
    <t xml:space="preserve">VISA DEBIT PURCHASE CARD 5746 | DULUX BROOKVALE BROOKVALE | EFFECTIVE DATE 18 OCT 2025</t>
  </si>
  <si>
    <t xml:space="preserve">ANZ-BE-961a62ab31d3</t>
  </si>
  <si>
    <t xml:space="preserve">VISA DEBIT PURCHASE CARD 5746 | BUNNINGS 407000 ROUSE HILL | EFFECTIVE DATE 21 OCT 2025</t>
  </si>
  <si>
    <t xml:space="preserve">ANZ-BE-7b399db6f3bc</t>
  </si>
  <si>
    <t xml:space="preserve">ANZ-BE-d95af561db05</t>
  </si>
  <si>
    <t xml:space="preserve">PAYMENT | TO TRANSPORT FOR NS ETOLL4211626295</t>
  </si>
  <si>
    <t xml:space="preserve">ANZ-BE-e150efd28a1e</t>
  </si>
  <si>
    <t xml:space="preserve">PAYMENT | TO TRANSPORT FOR NS ETOLL4211677779</t>
  </si>
  <si>
    <t xml:space="preserve">ANZ-BE-4d9e46852e0d</t>
  </si>
  <si>
    <t xml:space="preserve">VISA DEBIT PURCHASE CARD 5746 | 7-ELEVEN 2205 WEST PENNANT | EFFECTIVE DATE 23 OCT 2025</t>
  </si>
  <si>
    <t xml:space="preserve">ANZ-BE-3728747828c8</t>
  </si>
  <si>
    <t xml:space="preserve">EFTPOS | BUNNINGS CARLINGFORD 7132\CARLING NSW AU | EFFECTIVE DATE 26 OCT 2025</t>
  </si>
  <si>
    <t xml:space="preserve">ANZ-BE-6ed45d02044c</t>
  </si>
  <si>
    <t xml:space="preserve">EFTPOS | UNITED WILBERFORCE \WILBERFORCE AU</t>
  </si>
  <si>
    <t xml:space="preserve">ANZ-BE-d349a1fb0c36</t>
  </si>
  <si>
    <t xml:space="preserve">VISA DEBIT PURCHASE CARD 5746 | 7-ELEVEN 2128 CARLINGFORD | EFFECTIVE DATE 27 OCT 2025</t>
  </si>
  <si>
    <t xml:space="preserve">ANZ-BE-62ae1f49f6ac</t>
  </si>
  <si>
    <t xml:space="preserve">VISA DEBIT PURCHASE CARD 5746 | FREEDOM FUELS VINEYARD VINEYARD | EFFECTIVE DATE 31 OCT 2025</t>
  </si>
  <si>
    <t xml:space="preserve">2025-11</t>
  </si>
  <si>
    <t xml:space="preserve">ANZ-BE-af2c83e41c67</t>
  </si>
  <si>
    <t xml:space="preserve">PAYMENT FROM MP CONSTRUCT PTY LTD | MP DESIGN INV 256</t>
  </si>
  <si>
    <t xml:space="preserve">ANZ-BE-c2349c958df8</t>
  </si>
  <si>
    <t xml:space="preserve">ANZ ATM | MOSMAN JUNCTION BRANCH #1MOSMAN NS</t>
  </si>
  <si>
    <t xml:space="preserve">Drawing-Cash</t>
  </si>
  <si>
    <t xml:space="preserve">ANZ-BE-afe7e5df650e</t>
  </si>
  <si>
    <t xml:space="preserve">VISA DEBIT PURCHASE CARD 5746 | WWW.BLOSSOMUP.CO SANTAFE | 1.95 EUR INC O/S FEE $0.10 | EFFECTIVE DATE 06 NOV 2025</t>
  </si>
  <si>
    <t xml:space="preserve">ANZ-BE-d008160d7aab</t>
  </si>
  <si>
    <t xml:space="preserve">VISA DEBIT PURCHASE CARD 5746 | DAN MURPHY'S/71-77 PENSHU WILLOUGHBY | EFFECTIVE DATE 05 NOV 2025</t>
  </si>
  <si>
    <t xml:space="preserve">ANZ-BE-9363fdf81f22</t>
  </si>
  <si>
    <t xml:space="preserve">ANZ MOBILE BANKING PAYMENT 809977 | TO ARMIN MOHEBIAFZAP</t>
  </si>
  <si>
    <t xml:space="preserve">ANZ-BE-113df3e11e77</t>
  </si>
  <si>
    <t xml:space="preserve">VISA DEBIT PURCHASE CARD 5746 | 7-ELEVEN 2219 EPPING | EFFECTIVE DATE 06 NOV 2025</t>
  </si>
  <si>
    <t xml:space="preserve">ANZ-BE-f29fc2f835e4</t>
  </si>
  <si>
    <t xml:space="preserve">VISA DEBIT PURCHASE CARD 5746 | DAN MURPHY'S/250 OLD NORT CASTLE HILL | EFFECTIVE DATE 08 NOV 2025</t>
  </si>
  <si>
    <t xml:space="preserve">ANZ-BE-554652ba2c24</t>
  </si>
  <si>
    <t xml:space="preserve">ANZ-BE-2c82529ad20a</t>
  </si>
  <si>
    <t xml:space="preserve">PAYMENT | TO TRANSPORT FOR NS ETOLL4225275170</t>
  </si>
  <si>
    <t xml:space="preserve">ANZ-BE-ae72c1bb1e3a</t>
  </si>
  <si>
    <t xml:space="preserve">PAYMENT | TO TRANSPORT FOR NS ETOLL4225366562</t>
  </si>
  <si>
    <t xml:space="preserve">ANZ-BE-e74d49d60799</t>
  </si>
  <si>
    <t xml:space="preserve">EFTPOS | AMAYSIM MOBILE PTY LTD\</t>
  </si>
  <si>
    <t xml:space="preserve">Phone-Internet</t>
  </si>
  <si>
    <t xml:space="preserve">ANZ-BE-86a6f5820619</t>
  </si>
  <si>
    <t xml:space="preserve">VISA DEBIT PURCHASE CARD 5746 | REBTEL STOCKHOLM | EFFECTIVE DATE 11 NOV 2025</t>
  </si>
  <si>
    <t xml:space="preserve">ANZ-BE-6dc8ef08c590</t>
  </si>
  <si>
    <t xml:space="preserve">VISA DEBIT PURCHASE CARD 5746 | REBTEL STOCKHOLM | EFFECTIVE DATE 10 NOV 2025</t>
  </si>
  <si>
    <t xml:space="preserve">ANZ-BE-a138a40c9596</t>
  </si>
  <si>
    <t xml:space="preserve">VISA DEBIT PURCHASE CARD 5746 | SYD APRT INTNL CARP50 SYDNEY | EFFECTIVE DATE 10 NOV 2025</t>
  </si>
  <si>
    <t xml:space="preserve">ANZ-BE-3700b05b5ca7</t>
  </si>
  <si>
    <t xml:space="preserve">VISA DEBIT PURCHASE CARD 5746 | EXPRESSVPN.COM GIBRALTAR | 21.99 USD INC O/S FEE $1.02 | EFFECTIVE DATE 10 NOV 2025</t>
  </si>
  <si>
    <t xml:space="preserve">ANZ-BE-967ecebe5cea</t>
  </si>
  <si>
    <t xml:space="preserve">PAYMENT | TO ALLIANZ INSURE 109258317016825316</t>
  </si>
  <si>
    <t xml:space="preserve">Insurance</t>
  </si>
  <si>
    <t xml:space="preserve">ANZ-BE-7c14b7aa2099</t>
  </si>
  <si>
    <t xml:space="preserve">EFTPOS | ZLR*SNAP FITNESS BEECRO \BEECROFT AU</t>
  </si>
  <si>
    <t xml:space="preserve">ANZ-BE-15c7933ea4e9</t>
  </si>
  <si>
    <t xml:space="preserve">EFTPOS | ONEFLARE\</t>
  </si>
  <si>
    <t xml:space="preserve">ANZ-BE-a422b5c2947f</t>
  </si>
  <si>
    <t xml:space="preserve">VISA DEBIT PURCHASE CARD 5746 | SQ *CHILD FOUNDATION AUST 1800595310 | EFFECTIVE DATE 11 NOV 2025</t>
  </si>
  <si>
    <t xml:space="preserve">ANZ-BE-0b79c0df56b0</t>
  </si>
  <si>
    <t xml:space="preserve">ANZ MOBILE BANKING PAYMENT 132808 | TO ANDREW BEST</t>
  </si>
  <si>
    <t xml:space="preserve">ANZ-BE-7325085c99ec</t>
  </si>
  <si>
    <t xml:space="preserve">VISA DEBIT PURCHASE CARD 5746 | FELIX MOBILE NORTH SYDNEY | EFFECTIVE DATE 11 NOV 2025</t>
  </si>
  <si>
    <t xml:space="preserve">ANZ-BE-8ff6f09486be</t>
  </si>
  <si>
    <t xml:space="preserve">VISA DEBIT PURCHASE CARD 5746 | SG*V*WWW.BLOSSOMUP.CO SANTA FE | 29.95 EUR INC O/S FEE $1.60 | EFFECTIVE DATE 09 NOV 2025</t>
  </si>
  <si>
    <t xml:space="preserve">ANZ-BE-71e09887e6ac</t>
  </si>
  <si>
    <t xml:space="preserve">VISA DEBIT PURCHASE CARD 5746 | BUNNINGS 553000 CARLINGFORD | EFFECTIVE DATE 11 NOV 2025</t>
  </si>
  <si>
    <t xml:space="preserve">ANZ-BE-e9dc6e8ec717</t>
  </si>
  <si>
    <t xml:space="preserve">PAYMENT FROM REZA MASHHOORI | EFFECTIVE DATE 15 NOV 2025</t>
  </si>
  <si>
    <t xml:space="preserve">ANZ-BE-c78f38d782c8</t>
  </si>
  <si>
    <t xml:space="preserve">VISA DEBIT PURCHASE CARD 5746 | EXPRESSVPN.COM GIBRALTAR | 15.12 USD INC O/S FEE $0.69 | EFFECTIVE DATE 14 NOV 2025</t>
  </si>
  <si>
    <t xml:space="preserve">ANZ-BE-6e9178c4b81f</t>
  </si>
  <si>
    <t xml:space="preserve">VISA DEBIT PURCHASE CARD 5746 | INTUIT QUICKBOOKS SYDNEY | EFFECTIVE DATE 15 NOV 2025</t>
  </si>
  <si>
    <t xml:space="preserve">ANZ-BE-307890b141f1</t>
  </si>
  <si>
    <t xml:space="preserve">EFTPOS | UBER *TRIP HELP.UBER.COM\</t>
  </si>
  <si>
    <t xml:space="preserve">Transport</t>
  </si>
  <si>
    <t xml:space="preserve">ANZ-BE-21ac350e27f4</t>
  </si>
  <si>
    <t xml:space="preserve">VISA DEBIT PURCHASE CARD 5746 | 7-ELEVEN 2219 EPPING | EFFECTIVE DATE 16 NOV 2025</t>
  </si>
  <si>
    <t xml:space="preserve">ANZ-BE-969a9e4c26af</t>
  </si>
  <si>
    <t xml:space="preserve">VISA DEBIT PURCHASE CARD 5746 | 7-ELEVEN 2219 EPPING | EFFECTIVE DATE 19 NOV 2025</t>
  </si>
  <si>
    <t xml:space="preserve">ANZ-BE-6c8603192440</t>
  </si>
  <si>
    <t xml:space="preserve">EFTPOS | REGISTRY\</t>
  </si>
  <si>
    <t xml:space="preserve">ANZ-BE-76f6e7a8c741</t>
  </si>
  <si>
    <t xml:space="preserve">ANZ-BE-7952dfc741ec</t>
  </si>
  <si>
    <t xml:space="preserve">ANZ-BE-b09d8a2c2a6e</t>
  </si>
  <si>
    <t xml:space="preserve">VISA DEBIT PURCHASE CARD 5746 | SURFSHARK INC LEWES | 10.64 USD INC O/S FEE $0.49 | EFFECTIVE DATE 23 NOV 2025</t>
  </si>
  <si>
    <t xml:space="preserve">ANZ-BE-b23fb9aaa67f</t>
  </si>
  <si>
    <t xml:space="preserve">ANZ-BE-141640023005</t>
  </si>
  <si>
    <t xml:space="preserve">EFTPOS | WOOLWORTHS 1364\BEECROFT NSW AU | EFFECTIVE DATE 23 NOV 2025</t>
  </si>
  <si>
    <t xml:space="preserve">Groceries</t>
  </si>
  <si>
    <t xml:space="preserve">ANZ-BE-8ae8dec25ffd</t>
  </si>
  <si>
    <t xml:space="preserve">VISA DEBIT PURCHASE CARD 5746 | SURFSHARK.COM LEWES | 27.49 USD INC O/S FEE $1.28 | EFFECTIVE DATE 23 NOV 2025</t>
  </si>
  <si>
    <t xml:space="preserve">ANZ-BE-449322b6caca</t>
  </si>
  <si>
    <t xml:space="preserve">VISA DEBIT PURCHASE CARD 5746 | 7-ELEVEN 2219 EPPING | EFFECTIVE DATE 20 NOV 2025</t>
  </si>
  <si>
    <t xml:space="preserve">ANZ-BE-58f7a77ee1e0</t>
  </si>
  <si>
    <t xml:space="preserve">VISA DEBIT DEPOSIT CARD 5746 | SURFSHARK INC LEWES | 10.64 USD | EFFECTIVE DATE 24 NOV 2025</t>
  </si>
  <si>
    <t xml:space="preserve">ANZ-BE-8f1410a98051</t>
  </si>
  <si>
    <t xml:space="preserve">VISA DEBIT DEPOSIT CARD 5746 | SURFSHARK.COM LEWES | 27.49 USD | EFFECTIVE DATE 24 NOV 2025</t>
  </si>
  <si>
    <t xml:space="preserve">ANZ-BE-7a8cb5f46d25</t>
  </si>
  <si>
    <t xml:space="preserve">ANZ-BE-3cb6380b3b32</t>
  </si>
  <si>
    <t xml:space="preserve">VISA DEBIT PURCHASE CARD 5746 | PADDLE.NET* 16763502CA LONDON | 14.99 USD INC O/S FEE $0.70 | EFFECTIVE DATE 23 NOV 2025</t>
  </si>
  <si>
    <t xml:space="preserve">ANZ-BE-46b133e1b1c5</t>
  </si>
  <si>
    <t xml:space="preserve">VISA DEBIT PURCHASE CARD 5746 | TPG INTERNET PTY LTD NORTH RYDE | EFFECTIVE DATE 22 NOV 2025</t>
  </si>
  <si>
    <t xml:space="preserve">ANZ-BE-f671c9772e8d</t>
  </si>
  <si>
    <t xml:space="preserve">EFTPOS | ZLR*SWITCHMAN ESPRESSO \HAYMARKET AU</t>
  </si>
  <si>
    <t xml:space="preserve">ANZ-BE-cb3cc1e631ca</t>
  </si>
  <si>
    <t xml:space="preserve">ANZ-BE-5966bbb52e9a</t>
  </si>
  <si>
    <t xml:space="preserve">EFTPOS | REDDY EXPRESS 1692 MARSFIELD AU</t>
  </si>
  <si>
    <t xml:space="preserve">ANZ-BE-8203ac534fd0</t>
  </si>
  <si>
    <t xml:space="preserve">ANZ-BE-45840a34325d</t>
  </si>
  <si>
    <t xml:space="preserve">VISA DEBIT PURCHASE CARD 5746 | BUNNINGS 579000 NARRABEEN | EFFECTIVE DATE 24 NOV 2025</t>
  </si>
  <si>
    <t xml:space="preserve">ANZ-BE-45461077ebbb</t>
  </si>
  <si>
    <t xml:space="preserve">EFTPOS | UBER* TRIP\</t>
  </si>
  <si>
    <t xml:space="preserve">ANZ-BE-ca0ba9174ebb</t>
  </si>
  <si>
    <t xml:space="preserve">EFTPOS | CJS CENTRAL HAYMARKET AU</t>
  </si>
  <si>
    <t xml:space="preserve">ANZ-BE-99e855430870</t>
  </si>
  <si>
    <t xml:space="preserve">ANZ-BE-cf24b8241091</t>
  </si>
  <si>
    <t xml:space="preserve">PAYMENT FROM BFMS GROUP | 0095</t>
  </si>
  <si>
    <t xml:space="preserve">2025-12</t>
  </si>
  <si>
    <t xml:space="preserve">ANZ-BE-7cd2d260a6a9</t>
  </si>
  <si>
    <t xml:space="preserve">EFTPOS | ALLWEST VENDING EMU HEIGHTS AU | EFFECTIVE DATE 29 NOV 2025</t>
  </si>
  <si>
    <t xml:space="preserve">ANZ-BE-01c4d6c061f9</t>
  </si>
  <si>
    <t xml:space="preserve">ANZ-BE-6821f8d051cf</t>
  </si>
  <si>
    <t xml:space="preserve">VISA DEBIT PURCHASE CARD 5746 | YOLLACALLS.COM TALLINN | 4.00 USD INC O/S FEE $0.18 | EFFECTIVE DATE 29 NOV 2025</t>
  </si>
  <si>
    <t xml:space="preserve">ANZ-BE-b22f84ce2b72</t>
  </si>
  <si>
    <t xml:space="preserve">ANZ-BE-d262c254809f</t>
  </si>
  <si>
    <t xml:space="preserve">EFTPOS | 7-ELEVEN 2235 KENSINGTON AU</t>
  </si>
  <si>
    <t xml:space="preserve">ANZ-BE-dd6c761f17d3</t>
  </si>
  <si>
    <t xml:space="preserve">ANZ-BE-1aa1aae910bd</t>
  </si>
  <si>
    <t xml:space="preserve">EFTPOS | ZA TOBACCO BEECROFT\BEECROFT NSW AU</t>
  </si>
  <si>
    <t xml:space="preserve">ANZ-BE-75d32b33bd36</t>
  </si>
  <si>
    <t xml:space="preserve">ANZ MOBILE BANKING PAYMENT 424011 | TO ARMIN MOHEBIAFZAP | EFFECTIVE DATE 29 NOV 2025</t>
  </si>
  <si>
    <t xml:space="preserve">ANZ-BE-275fa80111a1</t>
  </si>
  <si>
    <t xml:space="preserve">ANZ MOBILE BANKING PAYMENT 213998 | TO ARMIN MOHEBIAFZAP</t>
  </si>
  <si>
    <t xml:space="preserve">ANZ-BE-030400cd9f83</t>
  </si>
  <si>
    <t xml:space="preserve">ANZ-BE-4d28c019e25c</t>
  </si>
  <si>
    <t xml:space="preserve">EFTPOS | INSP PAINT EPPING EPPING NSWAU</t>
  </si>
  <si>
    <t xml:space="preserve">ANZ-BE-675050272aff</t>
  </si>
  <si>
    <t xml:space="preserve">EFTPOS | UBER *EATS HELP.UBER.COM\</t>
  </si>
  <si>
    <t xml:space="preserve">ANZ-BE-471a2a8a453b</t>
  </si>
  <si>
    <t xml:space="preserve">ANZ-BE-f91576bd3926</t>
  </si>
  <si>
    <t xml:space="preserve">ANZ MOBILE BANKING PAYMENT 506054 | TO ARMIN MOHEBIAFZAP</t>
  </si>
  <si>
    <t xml:space="preserve">ANZ-BE-f2009444e95f</t>
  </si>
  <si>
    <t xml:space="preserve">EFTPOS | WOOLWORTHS 1364\BEECROFT NSW AU</t>
  </si>
  <si>
    <t xml:space="preserve">ANZ-BE-2619ad8b84dd</t>
  </si>
  <si>
    <t xml:space="preserve">NON-ANZ ATM CARD 5746 | ATMX 18 HANNAH STREET BE BEECROFT 0</t>
  </si>
  <si>
    <t xml:space="preserve">ANZ-BE-bd7964ac3614</t>
  </si>
  <si>
    <t xml:space="preserve">ANZ-BE-1e2375244ae8</t>
  </si>
  <si>
    <t xml:space="preserve">ANZ-BE-cd7e454e4da5</t>
  </si>
  <si>
    <t xml:space="preserve">VISA DEBIT PURCHASE CARD 5746 | 200 TFNSW INTER/IVR SURRY HILLS | EFFECTIVE DATE 30 NOV 2025</t>
  </si>
  <si>
    <t xml:space="preserve">ANZ-BE-f75cb0100454</t>
  </si>
  <si>
    <t xml:space="preserve">ANZ-BE-3f70771a8360</t>
  </si>
  <si>
    <t xml:space="preserve">ANZ-BE-f89fc3f2219d</t>
  </si>
  <si>
    <t xml:space="preserve">VISA DEBIT PURCHASE CARD 5746 | AMPOL NARRABEEN 22120F NARRABEEN | EFFECTIVE DATE 01 DEC 2025</t>
  </si>
  <si>
    <t xml:space="preserve">ANZ-BE-45da7133c013</t>
  </si>
  <si>
    <t xml:space="preserve">ANZ MOBILE BANKING PAYMENT 019646 | TO ARMIN MOHEBIAFZAP</t>
  </si>
  <si>
    <t xml:space="preserve">ANZ-BE-2baf67309629</t>
  </si>
  <si>
    <t xml:space="preserve">PAYMENT FROM BFMS GROUP | ARMIN PAINTING - KENSINGTON</t>
  </si>
  <si>
    <t xml:space="preserve">ANZ-BE-5c807de01961</t>
  </si>
  <si>
    <t xml:space="preserve">EFTPOS | SQ *THE COFFEE BOX CEN \SURRY HILLS AU</t>
  </si>
  <si>
    <t xml:space="preserve">ANZ-BE-20f86f42462c</t>
  </si>
  <si>
    <t xml:space="preserve">ANZ-BE-5c4410f8a158</t>
  </si>
  <si>
    <t xml:space="preserve">VISA DEBIT PURCHASE CARD 5746 | DULUX BROOKVALE BROOKVALE | EFFECTIVE DATE 02 DEC 2025</t>
  </si>
  <si>
    <t xml:space="preserve">ANZ-BE-9f5b5c4ab8be</t>
  </si>
  <si>
    <t xml:space="preserve">ANZ-BE-1e3c7a0ff4b6</t>
  </si>
  <si>
    <t xml:space="preserve">ANZ-BE-60e9749f3c83</t>
  </si>
  <si>
    <t xml:space="preserve">ANZ-BE-55ad2f41d778</t>
  </si>
  <si>
    <t xml:space="preserve">ANZ-BE-a8fc2cd1c586</t>
  </si>
  <si>
    <t xml:space="preserve">VISA DEBIT PURCHASE CARD 5746 | DAN MURPHY'S/250 OLD NORT CASTLE HILL | EFFECTIVE DATE 05 DEC 2025</t>
  </si>
  <si>
    <t xml:space="preserve">ANZ-BE-f5ce65e89411</t>
  </si>
  <si>
    <t xml:space="preserve">ANZ MOBILE BANKING PAYMENT 843972 | TO ARMIN MOHEBIAFZAP | EFFECTIVE DATE 06 DEC 2025</t>
  </si>
  <si>
    <t xml:space="preserve">ANZ-BE-a17420910ee5</t>
  </si>
  <si>
    <t xml:space="preserve">ANZ-BE-9bd4e8738c23</t>
  </si>
  <si>
    <t xml:space="preserve">ANZ-BE-c277289bd691</t>
  </si>
  <si>
    <t xml:space="preserve">ANZ-BE-9abe361528cc</t>
  </si>
  <si>
    <t xml:space="preserve">ANZ-BE-fe5dda4f4b28</t>
  </si>
  <si>
    <t xml:space="preserve">EFTPOS | REDDY EXPRESS 1605 FORESTVILLE AU</t>
  </si>
  <si>
    <t xml:space="preserve">ANZ-BE-6cdc4c818ed3</t>
  </si>
  <si>
    <t xml:space="preserve">ANZ-BE-711928143b10</t>
  </si>
  <si>
    <t xml:space="preserve">ANZ-BE-6e294300e502</t>
  </si>
  <si>
    <t xml:space="preserve">ANZ-BE-177cdb4c60b0</t>
  </si>
  <si>
    <t xml:space="preserve">ANZ-BE-9155f76a7c5d</t>
  </si>
  <si>
    <t xml:space="preserve">ANZ-BE-cee27cf6eebc</t>
  </si>
  <si>
    <t xml:space="preserve">ANZ MOBILE BANKING PAYMENT 458796 | TO ARMIN MOHEBIAFZAP</t>
  </si>
  <si>
    <t xml:space="preserve">ANZ-BE-9e97c4e001e5</t>
  </si>
  <si>
    <t xml:space="preserve">EFTPOS | AGOGO 43 PTY LTD\SURRY HILLS NSW AU</t>
  </si>
  <si>
    <t xml:space="preserve">ANZ-BE-953a97a448b1</t>
  </si>
  <si>
    <t xml:space="preserve">EFTPOS | EZYMART CNTRL NTH CON HAYMARKET AU</t>
  </si>
  <si>
    <t xml:space="preserve">ANZ-BE-bed82b5f9c8b</t>
  </si>
  <si>
    <t xml:space="preserve">EFTPOS | WW METRO 1669\SURRY HILLS NSW AU</t>
  </si>
  <si>
    <t xml:space="preserve">ANZ-BE-3407fec011d8</t>
  </si>
  <si>
    <t xml:space="preserve">ANZ-BE-01d6a89d77d6</t>
  </si>
  <si>
    <t xml:space="preserve">VISA DEBIT PURCHASE CARD 5746 | REBTEL STOCKHOLM | EFFECTIVE DATE 10 DEC 2025</t>
  </si>
  <si>
    <t xml:space="preserve">ANZ-BE-070da6a90b0c</t>
  </si>
  <si>
    <t xml:space="preserve">VISA DEBIT PURCHASE CARD 5746 | EXPRESSVPN.COM GIBRALTAR | 21.99 USD INC O/S FEE $0.99 | EFFECTIVE DATE 10 DEC 2025</t>
  </si>
  <si>
    <t xml:space="preserve">ANZ-BE-aa4e38cb99c2</t>
  </si>
  <si>
    <t xml:space="preserve">VISA DEBIT PURCHASE CARD 5746 | CS.BLOSSOMUP.CO SANTAFE | 29.95 EUR INC O/S FEE $1.58 | EFFECTIVE DATE 11 DEC 2025</t>
  </si>
  <si>
    <t xml:space="preserve">ANZ-BE-b691dc743138</t>
  </si>
  <si>
    <t xml:space="preserve">ANZ-BE-b59841a8376f</t>
  </si>
  <si>
    <t xml:space="preserve">PAYMENT | TO ALLIANZ INSURE 109258317010225346</t>
  </si>
  <si>
    <t xml:space="preserve">ANZ-BE-7910ccca0393</t>
  </si>
  <si>
    <t xml:space="preserve">ANZ-BE-16338b8d3db1</t>
  </si>
  <si>
    <t xml:space="preserve">EFTPOS | 7-ELEVEN 2235 KENSINGTON AU | EFFECTIVE DATE 13 DEC 2025</t>
  </si>
  <si>
    <t xml:space="preserve">ANZ-BE-62e5f42e5eee</t>
  </si>
  <si>
    <t xml:space="preserve">EFTPOS | BUDGET PETROL CHIPPEND CHIPPENDALE AU</t>
  </si>
  <si>
    <t xml:space="preserve">ANZ-BE-863e54757275</t>
  </si>
  <si>
    <t xml:space="preserve">VISA DEBIT PURCHASE CARD 5746 | SQ *CHILD FOUNDATION AUST 1800595310 | EFFECTIVE DATE 11 DEC 2025</t>
  </si>
  <si>
    <t xml:space="preserve">ANZ-BE-802b41007c4c</t>
  </si>
  <si>
    <t xml:space="preserve">VISA DEBIT PURCHASE CARD 5746 | BP EXPRESS 2241 WEST RYDE | EFFECTIVE DATE 10 DEC 2025</t>
  </si>
  <si>
    <t xml:space="preserve">ANZ-BE-09e275c17a9b</t>
  </si>
  <si>
    <t xml:space="preserve">VISA DEBIT PURCHASE CARD 5746 | UBER *EATS HELP.UBER.COM SYDNEY | EFFECTIVE DATE 11 DEC 2025</t>
  </si>
  <si>
    <t xml:space="preserve">ANZ-BE-95bbd3f1ab86</t>
  </si>
  <si>
    <t xml:space="preserve">EFTPOS | UBER *TRIP HELP.UBER.COM\ | EFFECTIVE DATE 13 DEC 2025</t>
  </si>
  <si>
    <t xml:space="preserve">ANZ-BE-f55dd6b67456</t>
  </si>
  <si>
    <t xml:space="preserve">EFTPOS | SMP*ADANOS CASTLE HILL \CASTLE HILL02 AU</t>
  </si>
  <si>
    <t xml:space="preserve">ANZ-BE-61b593e69a5e</t>
  </si>
  <si>
    <t xml:space="preserve">VISA DEBIT PURCHASE CARD 5746 | EXPRESSVPN.COM GIBRALTAR | 15.12 USD INC O/S FEE $0.68 | EFFECTIVE DATE 14 DEC 2025</t>
  </si>
  <si>
    <t xml:space="preserve">ANZ-BE-3875a7807d7b</t>
  </si>
  <si>
    <t xml:space="preserve">ANZ-BE-9baeec751a69</t>
  </si>
  <si>
    <t xml:space="preserve">EFTPOS | NESPRESSOAU_POS CASTLE HILL AU</t>
  </si>
  <si>
    <t xml:space="preserve">ANZ-BE-cc8145adcac4</t>
  </si>
  <si>
    <t xml:space="preserve">EFTPOS | KMART 1246 CASTLE HILL AU</t>
  </si>
  <si>
    <t xml:space="preserve">ANZ-BE-f92cf0174846</t>
  </si>
  <si>
    <t xml:space="preserve">PAYMENT FROM BFMS GROUP | PAINTING - KENSINGTON + BEN</t>
  </si>
  <si>
    <t xml:space="preserve">ANZ-BE-1e82a768aaa5</t>
  </si>
  <si>
    <t xml:space="preserve">ANZ-BE-970cab0b547a</t>
  </si>
  <si>
    <t xml:space="preserve">VISA DEBIT PURCHASE CARD 5746 | INTUIT QUICKBOOKS SYDNEY | EFFECTIVE DATE 15 DEC 2025</t>
  </si>
  <si>
    <t xml:space="preserve">ANZ-BE-d3da25f60a24</t>
  </si>
  <si>
    <t xml:space="preserve">ANZ MOBILE BANKING PAYMENT 232818 | TO ARMIN MOHEBIAFZAP</t>
  </si>
  <si>
    <t xml:space="preserve">ANZ-BE-d7b250fd5e06</t>
  </si>
  <si>
    <t xml:space="preserve">EFTPOS | SNAP FITNESS BEECROFT HOMEBUSH WESTAU</t>
  </si>
  <si>
    <t xml:space="preserve">ANZ-BE-f2d11075617d</t>
  </si>
  <si>
    <t xml:space="preserve">ANZ-BE-ab4cadb70378</t>
  </si>
  <si>
    <t xml:space="preserve">ANZ ATM | CASTLE HILL BRANCH #1 CASTLE HILL NS</t>
  </si>
  <si>
    <t xml:space="preserve">ANZ-BE-78dc02ea675c</t>
  </si>
  <si>
    <t xml:space="preserve">ANZ ATM | NORTH SYDNEY BRANCH #1 NORTH SYDNEY NS</t>
  </si>
  <si>
    <t xml:space="preserve">ANZ-BE-099d7a338d9f</t>
  </si>
  <si>
    <t xml:space="preserve">PAYMENT FROM BFMS GROUP | ARMIN - PAINT - KENSINGTON</t>
  </si>
  <si>
    <t xml:space="preserve">ANZ-BE-05c0e281c7e0</t>
  </si>
  <si>
    <t xml:space="preserve">ANZ MOBILE BANKING PAYMENT 610092 | TO ARMIN MOHEBIAFZAP</t>
  </si>
  <si>
    <t xml:space="preserve">ANZ-BE-88de1e53bd94</t>
  </si>
  <si>
    <t xml:space="preserve">ANZ MOBILE BANKING PAYMENT 588694 | TO ARMIN MOHEBIAFZAP</t>
  </si>
  <si>
    <t xml:space="preserve">ANZ-BE-96dc9ed27e4d</t>
  </si>
  <si>
    <t xml:space="preserve">VISA DEBIT PURCHASE CARD 5746 | 7-ELEVEN 2205 WEST PENNANT | EFFECTIVE DATE 18 JAN 2026</t>
  </si>
  <si>
    <t xml:space="preserve">2026-01</t>
  </si>
  <si>
    <t xml:space="preserve">ANZ-BE-0c7f19dec2af</t>
  </si>
  <si>
    <t xml:space="preserve">VISA DEBIT PURCHASE CARD 5746 | TRANSPORTFORNSW TAP SYDNEY | EFFECTIVE DATE 19 JAN 2026</t>
  </si>
  <si>
    <t xml:space="preserve">ANZ-BE-c1cdc3adb882</t>
  </si>
  <si>
    <t xml:space="preserve">EFTPOS | MOSMAN NEWSAGENCY MOSMAN AU</t>
  </si>
  <si>
    <t xml:space="preserve">ANZ-BE-e35d440282b2</t>
  </si>
  <si>
    <t xml:space="preserve">ANZ ATM CARD 5746</t>
  </si>
  <si>
    <t xml:space="preserve">ANZ-BE-f306281eded4</t>
  </si>
  <si>
    <t xml:space="preserve">VISA DEBIT PURCHASE CARD 5746 | ALIEXPRESS NORTH SYDNEY | EFFECTIVE DATE 20 JAN 2026</t>
  </si>
  <si>
    <t xml:space="preserve">ANZ-BE-4862fa5a8eed</t>
  </si>
  <si>
    <t xml:space="preserve">VISA DEBIT PURCHASE CARD 5746 | BUNNINGS GROUP LTD HAWTHORN EAST | EFFECTIVE DATE 20 JAN 2026</t>
  </si>
  <si>
    <t xml:space="preserve">ANZ-BE-8272ec943aad</t>
  </si>
  <si>
    <t xml:space="preserve">FUNDS TRANSFER CARD 5746 | PAYPAL*MOHEBIAFZAL ARMIN SYDNEY AU</t>
  </si>
  <si>
    <t xml:space="preserve">ANZ-BE-21cceb4c1cde</t>
  </si>
  <si>
    <t xml:space="preserve">VISA DEBIT DEPOSIT | BUNNINGS GROUP LTD HAWTHORN EAST | EFFECTIVE DATE 23 JAN 2026</t>
  </si>
  <si>
    <t xml:space="preserve">ANZ-BE-cffaaab0cf3f</t>
  </si>
  <si>
    <t xml:space="preserve">TRANSFER | FROM PAYPAL AUSTRALIA 1047816158633</t>
  </si>
  <si>
    <t xml:space="preserve">ANZ-BE-801a0aad42a9</t>
  </si>
  <si>
    <t xml:space="preserve">TRANSFER | FROM PAYPAL AUSTRALIA 1047816158637</t>
  </si>
  <si>
    <t xml:space="preserve">ANZ-BE-f3ec0d2f751a</t>
  </si>
  <si>
    <t xml:space="preserve">PAYMENT FROM CARMY PTY LTD | 1/868MILITARYRDINV267BALCONYREPAIR</t>
  </si>
  <si>
    <t xml:space="preserve">ANZ-BE-7f00577c6e19</t>
  </si>
  <si>
    <t xml:space="preserve">ANZ MOBILE BANKING PAYMENT 586187 | TO ARMIN MOHEBIAFZAP</t>
  </si>
  <si>
    <t xml:space="preserve">ANZ-BE-7f8de11a57de</t>
  </si>
  <si>
    <t xml:space="preserve">ANZ MOBILE BANKING PAYMENT 130718 | TO ROSECAP PTY LTD</t>
  </si>
  <si>
    <t xml:space="preserve">ANZ-BE-f79fe5dadee4</t>
  </si>
  <si>
    <t xml:space="preserve">EFTPOS | PAYPAL *UBEREATS AU SYDNEY AU</t>
  </si>
  <si>
    <t xml:space="preserve">ANZ-BE-98799deeaab2</t>
  </si>
  <si>
    <t xml:space="preserve">ANZ-BE-9dc60f8e9786</t>
  </si>
  <si>
    <t xml:space="preserve">ANZ-BE-7fabd5bb7197</t>
  </si>
  <si>
    <t xml:space="preserve">EFTPOS | SNAP FITNE* SNAP FITNE\</t>
  </si>
  <si>
    <t xml:space="preserve">ANZ-BE-b75c4c5d92f7</t>
  </si>
  <si>
    <t xml:space="preserve">ANZ-BE-8536b018be71</t>
  </si>
  <si>
    <t xml:space="preserve">2026-02</t>
  </si>
  <si>
    <t xml:space="preserve">ANZ-BE-deeb9dbd6bb8</t>
  </si>
  <si>
    <t xml:space="preserve">PAYMENT FROM CARMY PTY LTD | EFFECTIVE DATE 01 FEB 2026</t>
  </si>
  <si>
    <t xml:space="preserve">ANZ-BE-e1058cc8e6b1</t>
  </si>
  <si>
    <t xml:space="preserve">VISA DEBIT PURCHASE CARD 5746 | ZA TOBACCO BEECROFT BEECROFT | EFFECTIVE DATE 29 JAN 2026</t>
  </si>
  <si>
    <t xml:space="preserve">ANZ-BE-d581df581ed0</t>
  </si>
  <si>
    <t xml:space="preserve">VISA DEBIT PURCHASE CARD 5746 | KMART 1246 CASTLE HILL | EFFECTIVE DATE 31 JAN 2026</t>
  </si>
  <si>
    <t xml:space="preserve">ANZ-BE-a1384cdd87ad</t>
  </si>
  <si>
    <t xml:space="preserve">VISA DEBIT PURCHASE CARD 5746 | TEMU.COM PARRAMATTA | EFFECTIVE DATE 29 JAN 2026</t>
  </si>
  <si>
    <t xml:space="preserve">ANZ-BE-0b350e4b33ea</t>
  </si>
  <si>
    <t xml:space="preserve">EFTPOS | INSPIRATIONS PAINT DUR DURAL AU | EFFECTIVE DATE 31 JAN 2026</t>
  </si>
  <si>
    <t xml:space="preserve">ANZ-BE-aa9d123c9528</t>
  </si>
  <si>
    <t xml:space="preserve">VISA DEBIT PURCHASE CARD 5746 | SP MONTU GROUP PTY LTD EAST MELBOURN | EFFECTIVE DATE 31 JAN 2026</t>
  </si>
  <si>
    <t xml:space="preserve">ANZ-BE-84bd8f1ec411</t>
  </si>
  <si>
    <t xml:space="preserve">ANZ-BE-311b0a64e03e</t>
  </si>
  <si>
    <t xml:space="preserve">ANZ ATM | CASTLE HILL BRANCH #1 CASTLE HILL NS | EFFECTIVE DATE 31 JAN 2026</t>
  </si>
  <si>
    <t xml:space="preserve">ANZ-BE-089c3762ccb2</t>
  </si>
  <si>
    <t xml:space="preserve">ANZ MOBILE BANKING PAYMENT 952361 | TO ROSECAP PTY LTD | EFFECTIVE DATE 01 FEB 2026</t>
  </si>
  <si>
    <t xml:space="preserve">ANZ-BE-a129d66b37ce</t>
  </si>
  <si>
    <t xml:space="preserve">ANZ MOBILE BANKING PAYMENT 946928 | TO HAMED LOTFI | EFFECTIVE DATE 01 FEB 2026</t>
  </si>
  <si>
    <t xml:space="preserve">ANZ-BE-9d967a2751df</t>
  </si>
  <si>
    <t xml:space="preserve">ANZ MOBILE BANKING PAYMENT 951305 | TO ALI AMIRI | EFFECTIVE DATE 01 FEB 2026</t>
  </si>
  <si>
    <t xml:space="preserve">ANZ-BE-0f2fdc9d97ae</t>
  </si>
  <si>
    <t xml:space="preserve">VISA DEBIT PURCHASE CARD 5746 | TPG INTERNET PTY LTD NORTH RYDE | EFFECTIVE DATE 31 JAN 2026</t>
  </si>
  <si>
    <t xml:space="preserve">ANZ-BE-b67f217c5041</t>
  </si>
  <si>
    <t xml:space="preserve">ANZ MOBILE BANKING PAYMENT 618302 | TO ARMIN MOHEBIAFZAP</t>
  </si>
  <si>
    <t xml:space="preserve">ANZ-BE-6d26a6977ada</t>
  </si>
  <si>
    <t xml:space="preserve">PAYMENT FROM CARMY PTY LTD</t>
  </si>
  <si>
    <t xml:space="preserve">ANZ-BE-94b5a1a0fde3</t>
  </si>
  <si>
    <t xml:space="preserve">VISA DEBIT PURCHASE CARD 5746 | TPG INTERNET PTY LTD NORTH RYDE | EFFECTIVE DATE 03 FEB 2026</t>
  </si>
  <si>
    <t xml:space="preserve">ANZ-BE-4527c7656e87</t>
  </si>
  <si>
    <t xml:space="preserve">VISA DEBIT DEPOSIT | TPG INTERNET PTY LTD NORTH RYDE | EFFECTIVE DATE 04 FEB 2026</t>
  </si>
  <si>
    <t xml:space="preserve">ANZ-BE-f83480bfdbc1</t>
  </si>
  <si>
    <t xml:space="preserve">ANZ-BE-a913ce69db37</t>
  </si>
  <si>
    <t xml:space="preserve">VISA DEBIT PURCHASE CARD 5746 | 7-ELEVEN 2219 EPPING | EFFECTIVE DATE 04 FEB 2026</t>
  </si>
  <si>
    <t xml:space="preserve">ANZ-BE-88f37a3763bf</t>
  </si>
  <si>
    <t xml:space="preserve">VISA DEBIT PURCHASE CARD 5746 | BUNNINGS 634000 MINCHINBURY | EFFECTIVE DATE 05 FEB 2026</t>
  </si>
  <si>
    <t xml:space="preserve">ANZ-BE-7dbe111c9e26</t>
  </si>
  <si>
    <t xml:space="preserve">VISA DEBIT PURCHASE CARD 5746 | SP ALTERNALEAF EAST MELBOURN | EFFECTIVE DATE 05 FEB 2026</t>
  </si>
  <si>
    <t xml:space="preserve">ANZ-BE-38ec76e28c16</t>
  </si>
  <si>
    <t xml:space="preserve">VISA DEBIT PURCHASE CARD 5746 | IGG SINGAPORE PTE. LTD. SINGAPORE | EFFECTIVE DATE 07 FEB 2026</t>
  </si>
  <si>
    <t xml:space="preserve">ANZ-BE-9e7b01f3dfec</t>
  </si>
  <si>
    <t xml:space="preserve">VISA DEBIT PURCHASE CARD 5746 | WOOLWORTHS/BEECROFT RD &amp; BEECROFT | EFFECTIVE DATE 05 FEB 2026</t>
  </si>
  <si>
    <t xml:space="preserve">ANZ-BE-fa85f22f551a</t>
  </si>
  <si>
    <t xml:space="preserve">ANZ MOBILE BANKING PAYMENT 267625 | TO ARMIN MOHEBIAFZAP | EFFECTIVE DATE 07 FEB 2026</t>
  </si>
  <si>
    <t xml:space="preserve">ANZ-BE-18edcb60c42a</t>
  </si>
  <si>
    <t xml:space="preserve">ANZ ATM | CASTLE HILL BRANCH #1 CASTLE HILL NS | EFFECTIVE DATE 08 FEB 2026</t>
  </si>
  <si>
    <t xml:space="preserve">ANZ-BE-167c19f722c6</t>
  </si>
  <si>
    <t xml:space="preserve">ANZ MOBILE BANKING PAYMENT 121154 | TO ROSECAP PTY LTD | EFFECTIVE DATE 08 FEB 2026</t>
  </si>
  <si>
    <t xml:space="preserve">ANZ-BE-b8ab7f15e364</t>
  </si>
  <si>
    <t xml:space="preserve">VISA DEBIT PURCHASE CARD 5746 | TRANSPORTFORNSW TAP SYDNEY | EFFECTIVE DATE 07 FEB 2026</t>
  </si>
  <si>
    <t xml:space="preserve">ANZ-BE-0f08c0ab3535</t>
  </si>
  <si>
    <t xml:space="preserve">EFTPOS | AIRTASKER* 19529710X\</t>
  </si>
  <si>
    <t xml:space="preserve">ANZ-BE-ddc6b704b8e2</t>
  </si>
  <si>
    <t xml:space="preserve">EFTPOS | AIRTASKER* 19529865X\</t>
  </si>
  <si>
    <t xml:space="preserve">ANZ-BE-3c41bcb14761</t>
  </si>
  <si>
    <t xml:space="preserve">VISA DEBIT PURCHASE CARD 5746 | EXPRESSVPN.COM GIBRALTAR | 21.99 USD INC O/S FEE $0.94 | EFFECTIVE DATE 10 FEB 2026</t>
  </si>
  <si>
    <t xml:space="preserve">ANZ-BE-789912773a85</t>
  </si>
  <si>
    <t xml:space="preserve">ANZ-BE-a260b2208ec8</t>
  </si>
  <si>
    <t xml:space="preserve">PAYMENT | TO ALLIANZ INSURE 109258317017226043</t>
  </si>
  <si>
    <t xml:space="preserve">ANZ-BE-bac2817e9059</t>
  </si>
  <si>
    <t xml:space="preserve">PAYMENT FROM SCOTT A WALKER</t>
  </si>
  <si>
    <t xml:space="preserve">ANZ-BE-7181028ade04</t>
  </si>
  <si>
    <t xml:space="preserve">VISA DEBIT PURCHASE CARD 5746 | TRANSPORTFORNSW TAP SYDNEY | EFFECTIVE DATE 10 FEB 2026</t>
  </si>
  <si>
    <t xml:space="preserve">ANZ-BE-693036044b9b</t>
  </si>
  <si>
    <t xml:space="preserve">VISA DEBIT PURCHASE CARD 5746 | PETERSHAM SUPERMARKET PETERSHAM | EFFECTIVE DATE 11 FEB 2026</t>
  </si>
  <si>
    <t xml:space="preserve">ANZ-BE-795b26dc66ed</t>
  </si>
  <si>
    <t xml:space="preserve">VISA DEBIT PURCHASE CARD 5746 | SQ *CHILD FOUNDATION AUST 1800595310 | EFFECTIVE DATE 11 FEB 2026</t>
  </si>
  <si>
    <t xml:space="preserve">ANZ-BE-ef6f96be86dd</t>
  </si>
  <si>
    <t xml:space="preserve">VISA DEBIT PURCHASE CARD 5746 | WOOLWORTHS/BEECROFT RD &amp; BEECROFT | EFFECTIVE DATE 11 FEB 2026</t>
  </si>
  <si>
    <t xml:space="preserve">ANZ-BE-5c091060de6f</t>
  </si>
  <si>
    <t xml:space="preserve">VISA DEBIT PURCHASE CARD 5746 | BP CENTRE 2268 WEST PYMBLE | EFFECTIVE DATE 10 FEB 2026</t>
  </si>
  <si>
    <t xml:space="preserve">ANZ-BE-db388852eacb</t>
  </si>
  <si>
    <t xml:space="preserve">ANZ MOBILE BANKING PAYMENT 056625 | TO ARMIN MOHEBIAFZAP</t>
  </si>
  <si>
    <t xml:space="preserve">ANZ-BE-c3cc2558465c</t>
  </si>
  <si>
    <t xml:space="preserve">PAYMENT FROM SCOTT A WALKER | EFFECTIVE DATE 15 FEB 2026</t>
  </si>
  <si>
    <t xml:space="preserve">ANZ-BE-45436914905b</t>
  </si>
  <si>
    <t xml:space="preserve">VISA DEBIT PURCHASE CARD 5746 | GOOGLE ONE BARANGAROO | EFFECTIVE DATE 13 FEB 2026</t>
  </si>
  <si>
    <t xml:space="preserve">ANZ-BE-b52f97323e83</t>
  </si>
  <si>
    <t xml:space="preserve">VISA DEBIT PURCHASE CARD 5746 | TRANSPORTFORNSW TAP SYDNEY | EFFECTIVE DATE 11 FEB 2026</t>
  </si>
  <si>
    <t xml:space="preserve">ANZ-BE-f7e3909e2fbe</t>
  </si>
  <si>
    <t xml:space="preserve">VISA DEBIT PURCHASE CARD 5746 | TRANSPORTFORNSW TAP SYDNEY | EFFECTIVE DATE 13 FEB 2026</t>
  </si>
  <si>
    <t xml:space="preserve">ANZ-BE-46f98fc8f365</t>
  </si>
  <si>
    <t xml:space="preserve">VISA DEBIT PURCHASE CARD 5746 | TRANSPORTFORNSW TAP SYDNEY | EFFECTIVE DATE 12 FEB 2026</t>
  </si>
  <si>
    <t xml:space="preserve">ANZ-BE-03eaed6c845c</t>
  </si>
  <si>
    <t xml:space="preserve">VISA DEBIT PURCHASE CARD 5746 | REBTEL STOCKHOLM | EFFECTIVE DATE 14 FEB 2026</t>
  </si>
  <si>
    <t xml:space="preserve">ANZ-BE-86b2d5cd5641</t>
  </si>
  <si>
    <t xml:space="preserve">VISA DEBIT PURCHASE CARD 5746 | GOOGLE YOUTUBEPREMIUM BARANGAROO | EFFECTIVE DATE 14 FEB 2026</t>
  </si>
  <si>
    <t xml:space="preserve">ANZ-BE-49d665203d71</t>
  </si>
  <si>
    <t xml:space="preserve">EFTPOS | FELIX MOBILE\ | EFFECTIVE DATE 14 FEB 2026</t>
  </si>
  <si>
    <t xml:space="preserve">ANZ-BE-3895cb68e5b4</t>
  </si>
  <si>
    <t xml:space="preserve">VISA DEBIT PURCHASE CARD 5746 | ANTHROPIC ANTHROPIC.COM | 16.50 USD INC O/S FEE $0.69 | EFFECTIVE DATE 13 FEB 2026</t>
  </si>
  <si>
    <t xml:space="preserve">ANZ-BE-8e367147bcb1</t>
  </si>
  <si>
    <t xml:space="preserve">EFTPOS | NO.1 MALATANG PENRITH PENRITH AU</t>
  </si>
  <si>
    <t xml:space="preserve">ANZ-BE-9fe382a77e73</t>
  </si>
  <si>
    <t xml:space="preserve">VISA DEBIT PURCHASE CARD 5746 | 7-ELEVEN 2128 CARLINGFORD | EFFECTIVE DATE 12 FEB 2026</t>
  </si>
  <si>
    <t xml:space="preserve">ANZ-BE-bb1c41d95f56</t>
  </si>
  <si>
    <t xml:space="preserve">EFTPOS | INSP PAINT EPPING EPPING NSWAU | EFFECTIVE DATE 14 FEB 2026</t>
  </si>
  <si>
    <t xml:space="preserve">ANZ-BE-5ffe87df6fea</t>
  </si>
  <si>
    <t xml:space="preserve">ANZ MOBILE BANKING PAYMENT 537927 | TO ARMIN MOHEBIAFZAP</t>
  </si>
  <si>
    <t xml:space="preserve">ANZ-BE-19804c9b6122</t>
  </si>
  <si>
    <t xml:space="preserve">VISA DEBIT PURCHASE CARD 5746 | APPLE.COM/BILL SYDNEY | EFFECTIVE DATE 15 FEB 2026</t>
  </si>
  <si>
    <t xml:space="preserve">ANZ-BE-cd093d058729</t>
  </si>
  <si>
    <t xml:space="preserve">ANZ-BE-6cb51a8df9a0</t>
  </si>
  <si>
    <t xml:space="preserve">VISA DEBIT PURCHASE CARD 5746 | INTUIT QUICKBOOKS SYDNEY | EFFECTIVE DATE 15 FEB 2026</t>
  </si>
  <si>
    <t xml:space="preserve">ANZ-BE-c0eea97245e0</t>
  </si>
  <si>
    <t xml:space="preserve">VISA DEBIT PURCHASE CARD 5746 | 7-ELEVEN 2143 ARNCLIFFE | EFFECTIVE DATE 15 FEB 2026</t>
  </si>
  <si>
    <t xml:space="preserve">ANZ-BE-d2b3b1975e93</t>
  </si>
  <si>
    <t xml:space="preserve">VISA DEBIT PURCHASE CARD 5746 | OFFICEWORKS 0256 NORTH NORTHMEAD | EFFECTIVE DATE 16 FEB 2026</t>
  </si>
  <si>
    <t xml:space="preserve">ANZ-BE-1233319a15d3</t>
  </si>
  <si>
    <t xml:space="preserve">VISA DEBIT PURCHASE CARD 5746 | TRANSPORTFORNSW TAP SYDNEY | EFFECTIVE DATE 15 FEB 2026</t>
  </si>
  <si>
    <t xml:space="preserve">ANZ-BE-1b4e8597953e</t>
  </si>
  <si>
    <t xml:space="preserve">VISA DEBIT PURCHASE CARD 5746 | OFFICEWORKS 0256 NORTHMEAD | EFFECTIVE DATE 16 FEB 2026</t>
  </si>
  <si>
    <t xml:space="preserve">ANZ-BE-1473eebc054e</t>
  </si>
  <si>
    <t xml:space="preserve">VISA DEBIT PURCHASE CARD 5746 | BP EDGECLIFF 7256 EDGECLIFF | EFFECTIVE DATE 13 FEB 2026</t>
  </si>
  <si>
    <t xml:space="preserve">ANZ-BE-d091287962d7</t>
  </si>
  <si>
    <t xml:space="preserve">VISA DEBIT PURCHASE CARD 5746 | OFFICEWORKS BENTLEIGH EAS | EFFECTIVE DATE 16 FEB 2026</t>
  </si>
  <si>
    <t xml:space="preserve">ANZ-BE-23c9ebc849de</t>
  </si>
  <si>
    <t xml:space="preserve">VISA DEBIT PURCHASE CARD 5746 | SPEEDWAY FUELS HABER HABERFIELD | EFFECTIVE DATE 15 FEB 2026</t>
  </si>
  <si>
    <t xml:space="preserve">ANZ-BE-b6ea3b4caa87</t>
  </si>
  <si>
    <t xml:space="preserve">VISA DEBIT PURCHASE CARD 5746 | PAYPAL *PYPL PAYIN4 1800073263 | EFFECTIVE DATE 16 FEB 2026</t>
  </si>
  <si>
    <t xml:space="preserve">ANZ-BE-61d467a253d8</t>
  </si>
  <si>
    <t xml:space="preserve">ANZ-BE-639b2aada0bb</t>
  </si>
  <si>
    <t xml:space="preserve">VISA DEBIT PURCHASE CARD 5746 | WESTFIELD PENRITH PENRITH | EFFECTIVE DATE 16 FEB 2026</t>
  </si>
  <si>
    <t xml:space="preserve">ANZ-BE-ccedb0438fee</t>
  </si>
  <si>
    <t xml:space="preserve">VISA DEBIT PURCHASE CARD 5746 | TEMU.COM PARRAMATTA | EFFECTIVE DATE 17 FEB 2026</t>
  </si>
  <si>
    <t xml:space="preserve">ANZ-BE-9fb5a06052d5</t>
  </si>
  <si>
    <t xml:space="preserve">ANZ-BE-df7db560f315</t>
  </si>
  <si>
    <t xml:space="preserve">ANZ-BE-2a84db4e35ba</t>
  </si>
  <si>
    <t xml:space="preserve">PAYMENT FROM MEHRDAD MANSOURI</t>
  </si>
  <si>
    <t xml:space="preserve">ANZ-BE-62b32e6ebd55</t>
  </si>
  <si>
    <t xml:space="preserve">VISA DEBIT PURCHASE CARD 5746 | REDDY EXPRESS 1691 FIVE DOCK | EFFECTIVE DATE 18 FEB 2026</t>
  </si>
  <si>
    <t xml:space="preserve">ANZ-BE-3cb92ce13f80</t>
  </si>
  <si>
    <t xml:space="preserve">ANZ MOBILE BANKING PAYMENT 146377 | TO ARMIN MOHEBIAFZAP</t>
  </si>
  <si>
    <t xml:space="preserve">ANZ-BE-8b4dff3e9ca9</t>
  </si>
  <si>
    <t xml:space="preserve">ANZ MOBILE BANKING PAYMENT 226160 | TO ROSECAP PTY LTD</t>
  </si>
  <si>
    <t xml:space="preserve">stmt_no</t>
  </si>
  <si>
    <t xml:space="preserve">canonical_file</t>
  </si>
  <si>
    <t xml:space="preserve">period_from</t>
  </si>
  <si>
    <t xml:space="preserve">period_to</t>
  </si>
  <si>
    <t xml:space="preserve">opening</t>
  </si>
  <si>
    <t xml:space="preserve">total_deposits</t>
  </si>
  <si>
    <t xml:space="preserve">total_withdrawals</t>
  </si>
  <si>
    <t xml:space="preserve">closing</t>
  </si>
  <si>
    <t xml:space="preserve">n_txn</t>
  </si>
  <si>
    <t xml:space="preserve">sum_dep(Ledger)</t>
  </si>
  <si>
    <t xml:space="preserve">sum_wdr(Ledger)</t>
  </si>
  <si>
    <t xml:space="preserve">close_check</t>
  </si>
  <si>
    <t xml:space="preserve">running_ok</t>
  </si>
  <si>
    <t xml:space="preserve">notes</t>
  </si>
  <si>
    <t xml:space="preserve">ANZ-BE_stmt04_2024-03-20_2024-04-19.pdf</t>
  </si>
  <si>
    <t xml:space="preserve">2024-03-20</t>
  </si>
  <si>
    <t xml:space="preserve">2024-04-19</t>
  </si>
  <si>
    <t xml:space="preserve">OK</t>
  </si>
  <si>
    <t xml:space="preserve">stmts #1-3 missing before; #5-7 missing after</t>
  </si>
  <si>
    <t xml:space="preserve">ANZ-BE_stmt08_2024-07-19_2024-08-20.pdf</t>
  </si>
  <si>
    <t xml:space="preserve">2024-07-19</t>
  </si>
  <si>
    <t xml:space="preserve">2024-08-20</t>
  </si>
  <si>
    <t xml:space="preserve">#9-22 missing after</t>
  </si>
  <si>
    <t xml:space="preserve">ANZ-BE_stmt23_2025-10-20_2025-11-20.pdf</t>
  </si>
  <si>
    <t xml:space="preserve">2025-10-20</t>
  </si>
  <si>
    <t xml:space="preserve">2025-11-20</t>
  </si>
  <si>
    <t xml:space="preserve">ANZ-BE_stmt24_2025-11-20_2025-12-19.pdf</t>
  </si>
  <si>
    <t xml:space="preserve">2025-12-19</t>
  </si>
  <si>
    <t xml:space="preserve">#25 missing after</t>
  </si>
  <si>
    <t xml:space="preserve">ANZ-BE_stmt26_2026-01-20_2026-02-20.pdf</t>
  </si>
  <si>
    <t xml:space="preserve">2026-01-20</t>
  </si>
  <si>
    <t xml:space="preserve">2026-02-20</t>
  </si>
  <si>
    <t xml:space="preserve">latest provided</t>
  </si>
  <si>
    <t xml:space="preserve">inflow</t>
  </si>
  <si>
    <t xml:space="preserve">outflow</t>
  </si>
  <si>
    <t xml:space="preserve">net</t>
  </si>
  <si>
    <t xml:space="preserve">gst_candidate_sum</t>
  </si>
  <si>
    <t xml:space="preserve">n_txns</t>
  </si>
  <si>
    <t xml:space="preserve">TOTAL</t>
  </si>
  <si>
    <t xml:space="preserve">share_of_outflow</t>
  </si>
  <si>
    <t xml:space="preserve">flag_summary</t>
  </si>
  <si>
    <t xml:space="preserve">count</t>
  </si>
  <si>
    <t xml:space="preserve">DIV7A-CANDIDATE</t>
  </si>
  <si>
    <t xml:space="preserve">ASSOCIATE (any)</t>
  </si>
  <si>
    <t xml:space="preserve">AUSTRAC&gt;=10k</t>
  </si>
  <si>
    <t xml:space="preserve">REMITTANCE-REVIEW</t>
  </si>
  <si>
    <t xml:space="preserve">Flagged rows (derived view — source of truth = Ledger sheet):</t>
  </si>
  <si>
    <t xml:space="preserve">2024-03-25</t>
  </si>
  <si>
    <t xml:space="preserve">ANZ MOBILE BANKING PAYMENT 581694 | TO ARMIN MOHEBIAFZAP | EFFECTIVE DATE 23 MAR</t>
  </si>
  <si>
    <t xml:space="preserve">2024-03-26</t>
  </si>
  <si>
    <t xml:space="preserve">2024-03-27</t>
  </si>
  <si>
    <t xml:space="preserve">2024-04-02</t>
  </si>
  <si>
    <t xml:space="preserve">ANZ MOBILE BANKING PAYMENT 139859 | TO ARMIN MOHEBIAFZAP | EFFECTIVE DATE 29 MAR</t>
  </si>
  <si>
    <t xml:space="preserve">ANZ MOBILE BANKING PAYMENT 206793 | TO ARMIN MOHEBIAFZAP | EFFECTIVE DATE 30 MAR</t>
  </si>
  <si>
    <t xml:space="preserve">2024-04-03</t>
  </si>
  <si>
    <t xml:space="preserve">2024-04-04</t>
  </si>
  <si>
    <t xml:space="preserve">2024-04-05</t>
  </si>
  <si>
    <t xml:space="preserve">2024-04-08</t>
  </si>
  <si>
    <t xml:space="preserve">ANZ MOBILE BANKING PAYMENT 106180 | TO ARMIN MOHEBIAFZAP | EFFECTIVE DATE 07 APR</t>
  </si>
  <si>
    <t xml:space="preserve">ANZ MOBILE BANKING PAYMENT 277967 | TO ARMIN MOHEBIAFZAP | EFFECTIVE DATE 06 APR</t>
  </si>
  <si>
    <t xml:space="preserve">ANZ MOBILE BANKING PAYMENT 668260 | TO ARMIN MOHEBIAFZAP | EFFECTIVE DATE 06 APR</t>
  </si>
  <si>
    <t xml:space="preserve">ANZ MOBILE BANKING PAYMENT 919502 | TO ARMIN MOHEBIAFZAP | EFFECTIVE DATE 07 APR</t>
  </si>
  <si>
    <t xml:space="preserve">2024-04-12</t>
  </si>
  <si>
    <t xml:space="preserve">2024-04-15</t>
  </si>
  <si>
    <t xml:space="preserve">ANZ MOBILE BANKING PAYMENT 358557 | TO ARMIN MOHEBIAFZAP | EFFECTIVE DATE 14 APR</t>
  </si>
  <si>
    <t xml:space="preserve">ANZ MOBILE BANKING PAYMENT 673635 | TO ARMIN MOHEBIAFZAP | EFFECTIVE DATE 13 APR</t>
  </si>
  <si>
    <t xml:space="preserve">2024-07-26</t>
  </si>
  <si>
    <t xml:space="preserve">2024-07-30</t>
  </si>
  <si>
    <t xml:space="preserve">2024-07-31</t>
  </si>
  <si>
    <t xml:space="preserve">2024-08-05</t>
  </si>
  <si>
    <t xml:space="preserve">ANZ MOBILE BANKING PAYMENT 741096 | TO ARMIN MOHEBIAFZAP | EFFECTIVE DATE 04 AUG</t>
  </si>
  <si>
    <t xml:space="preserve">2024-08-06</t>
  </si>
  <si>
    <t xml:space="preserve">2024-08-07</t>
  </si>
  <si>
    <t xml:space="preserve">2024-08-09</t>
  </si>
  <si>
    <t xml:space="preserve">2024-08-12</t>
  </si>
  <si>
    <t xml:space="preserve">ANZ MOBILE BANKING PAYMENT 235131 | TO ARMIN MOHEBIAFZAP | EFFECTIVE DATE 10 AUG</t>
  </si>
  <si>
    <t xml:space="preserve">ANZ MOBILE BANKING PAYMENT 217281 | TO ARMIN MOHEBIAFZAP | EFFECTIVE DATE 10 AUG</t>
  </si>
  <si>
    <t xml:space="preserve">2024-08-13</t>
  </si>
  <si>
    <t xml:space="preserve">2024-08-15</t>
  </si>
  <si>
    <t xml:space="preserve">2024-08-16</t>
  </si>
  <si>
    <t xml:space="preserve">2024-08-19</t>
  </si>
  <si>
    <t xml:space="preserve">ANZ MOBILE BANKING PAYMENT 548198 | TO ARMIN MOHEBIAFZAP | EFFECTIVE DATE 17 AUG</t>
  </si>
  <si>
    <t xml:space="preserve">ANZ MOBILE BANKING PAYMENT 836560 | TO ARMIN MOHEBIAFZAP | EFFECTIVE DATE 18 AUG</t>
  </si>
  <si>
    <t xml:space="preserve">ANZ MOBILE BANKING PAYMENT 925852 | TO ARMIN MOHEBIAFZAP | EFFECTIVE DATE 18 AUG</t>
  </si>
  <si>
    <t xml:space="preserve">2025-11-10</t>
  </si>
  <si>
    <t xml:space="preserve">2025-11-11</t>
  </si>
  <si>
    <t xml:space="preserve">2025-11-17</t>
  </si>
  <si>
    <t xml:space="preserve">2025-11-24</t>
  </si>
  <si>
    <t xml:space="preserve">2025-12-01</t>
  </si>
  <si>
    <t xml:space="preserve">ANZ MOBILE BANKING PAYMENT 424011 | TO ARMIN MOHEBIAFZAP | EFFECTIVE DATE 29 NOV</t>
  </si>
  <si>
    <t xml:space="preserve">2025-12-02</t>
  </si>
  <si>
    <t xml:space="preserve">2025-12-04</t>
  </si>
  <si>
    <t xml:space="preserve">2025-12-08</t>
  </si>
  <si>
    <t xml:space="preserve">ANZ MOBILE BANKING PAYMENT 843972 | TO ARMIN MOHEBIAFZAP | EFFECTIVE DATE 06 DEC</t>
  </si>
  <si>
    <t xml:space="preserve">2025-12-10</t>
  </si>
  <si>
    <t xml:space="preserve">2025-12-17</t>
  </si>
  <si>
    <t xml:space="preserve">2026-01-28</t>
  </si>
  <si>
    <t xml:space="preserve">2026-02-03</t>
  </si>
  <si>
    <t xml:space="preserve">2026-02-06</t>
  </si>
  <si>
    <t xml:space="preserve">2026-02-09</t>
  </si>
  <si>
    <t xml:space="preserve">ANZ MOBILE BANKING PAYMENT 267625 | TO ARMIN MOHEBIAFZAP | EFFECTIVE DATE 07 FEB</t>
  </si>
  <si>
    <t xml:space="preserve">2026-02-13</t>
  </si>
  <si>
    <t xml:space="preserve">2026-02-16</t>
  </si>
  <si>
    <t xml:space="preserve">2026-02-19</t>
  </si>
  <si>
    <t xml:space="preserve">from_stmt</t>
  </si>
  <si>
    <t xml:space="preserve">to_stmt</t>
  </si>
  <si>
    <t xml:space="preserve">missing_between</t>
  </si>
  <si>
    <t xml:space="preserve">next_opening</t>
  </si>
  <si>
    <t xml:space="preserve">continuous</t>
  </si>
  <si>
    <t xml:space="preserve">n/a (gap)</t>
  </si>
  <si>
    <t xml:space="preserve">YES</t>
  </si>
  <si>
    <t xml:space="preserve">Dedup log: 0 duplicates removed this run (periods are disjoint; hash IDs guarantee idempotent re-ingest).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</si>
</sst>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\$#,##0.00;&quot;($&quot;#,##0.00\);\-"/>
    <numFmt numFmtId="167" formatCode="0.00"/>
    <numFmt numFmtId="168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6"/>
    <col collapsed="false" customWidth="true" hidden="false" outlineLevel="0" max="4" min="4" style="0" width="58"/>
    <col collapsed="false" customWidth="true" hidden="false" outlineLevel="0" max="7" min="5" style="0" width="12"/>
    <col collapsed="false" customWidth="true" hidden="false" outlineLevel="0" max="8" min="8" style="0" width="20"/>
    <col collapsed="false" customWidth="true" hidden="false" outlineLevel="0" max="10" min="9" style="0" width="10"/>
    <col collapsed="false" customWidth="true" hidden="false" outlineLevel="0" max="11" min="11" style="0" width="8"/>
    <col collapsed="false" customWidth="true" hidden="false" outlineLevel="0" max="12" min="12" style="0" width="12"/>
    <col collapsed="false" customWidth="true" hidden="false" outlineLevel="0" max="13" min="13" style="0" width="30"/>
    <col collapsed="false" customWidth="true" hidden="false" outlineLevel="0" max="14" min="14" style="0" width="8"/>
    <col collapsed="false" customWidth="true" hidden="false" outlineLevel="0" max="15" min="15" style="0" width="9"/>
  </cols>
  <sheetData>
    <row r="1" customFormat="false" ht="15" hidden="false" customHeight="false" outlineLevel="0" collapsed="false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</row>
    <row r="2" customFormat="false" ht="15" hidden="false" customHeight="false" outlineLevel="0" collapsed="false">
      <c r="A2" s="2" t="s">
        <v>24</v>
      </c>
      <c r="B2" s="4" t="n">
        <v>45372</v>
      </c>
      <c r="C2" s="2" t="n">
        <v>4</v>
      </c>
      <c r="D2" s="2" t="s">
        <v>25</v>
      </c>
      <c r="E2" s="5" t="n">
        <v>107.64</v>
      </c>
      <c r="F2" s="5" t="n">
        <v>0</v>
      </c>
      <c r="G2" s="5" t="n">
        <v>2669.57</v>
      </c>
      <c r="H2" s="2" t="s">
        <v>26</v>
      </c>
      <c r="I2" s="2" t="s">
        <v>27</v>
      </c>
      <c r="J2" s="6" t="n">
        <v>0.7</v>
      </c>
      <c r="K2" s="2" t="s">
        <v>28</v>
      </c>
      <c r="L2" s="5" t="n">
        <f aca="false">IF($K2="Y",ROUND($E2/11,2),0)</f>
        <v>9.79</v>
      </c>
      <c r="M2" s="2"/>
      <c r="N2" s="2" t="s">
        <v>29</v>
      </c>
      <c r="O2" s="2" t="s">
        <v>30</v>
      </c>
    </row>
    <row r="3" customFormat="false" ht="15" hidden="false" customHeight="false" outlineLevel="0" collapsed="false">
      <c r="A3" s="2" t="s">
        <v>31</v>
      </c>
      <c r="B3" s="4" t="n">
        <v>45372</v>
      </c>
      <c r="C3" s="2" t="n">
        <v>4</v>
      </c>
      <c r="D3" s="2" t="s">
        <v>32</v>
      </c>
      <c r="E3" s="5" t="n">
        <v>384.29</v>
      </c>
      <c r="F3" s="5" t="n">
        <v>0</v>
      </c>
      <c r="G3" s="5" t="n">
        <v>2285.28</v>
      </c>
      <c r="H3" s="2" t="s">
        <v>33</v>
      </c>
      <c r="I3" s="2" t="s">
        <v>27</v>
      </c>
      <c r="J3" s="6" t="n">
        <v>0.8</v>
      </c>
      <c r="K3" s="2" t="s">
        <v>28</v>
      </c>
      <c r="L3" s="5" t="n">
        <f aca="false">IF($K3="Y",ROUND($E3/11,2),0)</f>
        <v>34.94</v>
      </c>
      <c r="M3" s="2"/>
      <c r="N3" s="2" t="s">
        <v>29</v>
      </c>
      <c r="O3" s="2" t="s">
        <v>30</v>
      </c>
    </row>
    <row r="4" customFormat="false" ht="15" hidden="false" customHeight="false" outlineLevel="0" collapsed="false">
      <c r="A4" s="2" t="s">
        <v>34</v>
      </c>
      <c r="B4" s="4" t="n">
        <v>45376</v>
      </c>
      <c r="C4" s="2" t="n">
        <v>4</v>
      </c>
      <c r="D4" s="2" t="s">
        <v>35</v>
      </c>
      <c r="E4" s="5" t="n">
        <v>500</v>
      </c>
      <c r="F4" s="5" t="n">
        <v>0</v>
      </c>
      <c r="G4" s="5" t="n">
        <v>1785.28</v>
      </c>
      <c r="H4" s="7" t="s">
        <v>36</v>
      </c>
      <c r="I4" s="7" t="s">
        <v>37</v>
      </c>
      <c r="J4" s="6" t="n">
        <v>0.7</v>
      </c>
      <c r="K4" s="2" t="s">
        <v>29</v>
      </c>
      <c r="L4" s="5" t="n">
        <f aca="false">IF($K4="Y",ROUND($E4/11,2),0)</f>
        <v>0</v>
      </c>
      <c r="M4" s="2" t="s">
        <v>38</v>
      </c>
      <c r="N4" s="2" t="s">
        <v>28</v>
      </c>
      <c r="O4" s="2" t="s">
        <v>30</v>
      </c>
    </row>
    <row r="5" customFormat="false" ht="15" hidden="false" customHeight="false" outlineLevel="0" collapsed="false">
      <c r="A5" s="2" t="s">
        <v>39</v>
      </c>
      <c r="B5" s="4" t="n">
        <v>45377</v>
      </c>
      <c r="C5" s="2" t="n">
        <v>4</v>
      </c>
      <c r="D5" s="2" t="s">
        <v>40</v>
      </c>
      <c r="E5" s="5" t="n">
        <v>100</v>
      </c>
      <c r="F5" s="5" t="n">
        <v>0</v>
      </c>
      <c r="G5" s="5" t="n">
        <v>1685.28</v>
      </c>
      <c r="H5" s="7" t="s">
        <v>36</v>
      </c>
      <c r="I5" s="7" t="s">
        <v>37</v>
      </c>
      <c r="J5" s="6" t="n">
        <v>0.7</v>
      </c>
      <c r="K5" s="2" t="s">
        <v>29</v>
      </c>
      <c r="L5" s="5" t="n">
        <f aca="false">IF($K5="Y",ROUND($E5/11,2),0)</f>
        <v>0</v>
      </c>
      <c r="M5" s="2" t="s">
        <v>38</v>
      </c>
      <c r="N5" s="2" t="s">
        <v>28</v>
      </c>
      <c r="O5" s="2" t="s">
        <v>30</v>
      </c>
    </row>
    <row r="6" customFormat="false" ht="15" hidden="false" customHeight="false" outlineLevel="0" collapsed="false">
      <c r="A6" s="2" t="s">
        <v>41</v>
      </c>
      <c r="B6" s="4" t="n">
        <v>45377</v>
      </c>
      <c r="C6" s="2" t="n">
        <v>4</v>
      </c>
      <c r="D6" s="2" t="s">
        <v>42</v>
      </c>
      <c r="E6" s="5" t="n">
        <v>150</v>
      </c>
      <c r="F6" s="5" t="n">
        <v>0</v>
      </c>
      <c r="G6" s="5" t="n">
        <v>1535.28</v>
      </c>
      <c r="H6" s="7" t="s">
        <v>36</v>
      </c>
      <c r="I6" s="7" t="s">
        <v>37</v>
      </c>
      <c r="J6" s="6" t="n">
        <v>0.7</v>
      </c>
      <c r="K6" s="2" t="s">
        <v>29</v>
      </c>
      <c r="L6" s="5" t="n">
        <f aca="false">IF($K6="Y",ROUND($E6/11,2),0)</f>
        <v>0</v>
      </c>
      <c r="M6" s="2" t="s">
        <v>38</v>
      </c>
      <c r="N6" s="2" t="s">
        <v>28</v>
      </c>
      <c r="O6" s="2" t="s">
        <v>30</v>
      </c>
    </row>
    <row r="7" customFormat="false" ht="15" hidden="false" customHeight="false" outlineLevel="0" collapsed="false">
      <c r="A7" s="2" t="s">
        <v>43</v>
      </c>
      <c r="B7" s="4" t="n">
        <v>45377</v>
      </c>
      <c r="C7" s="2" t="n">
        <v>4</v>
      </c>
      <c r="D7" s="2" t="s">
        <v>44</v>
      </c>
      <c r="E7" s="5" t="n">
        <v>400</v>
      </c>
      <c r="F7" s="5" t="n">
        <v>0</v>
      </c>
      <c r="G7" s="5" t="n">
        <v>1135.28</v>
      </c>
      <c r="H7" s="7" t="s">
        <v>36</v>
      </c>
      <c r="I7" s="7" t="s">
        <v>37</v>
      </c>
      <c r="J7" s="6" t="n">
        <v>0.7</v>
      </c>
      <c r="K7" s="2" t="s">
        <v>29</v>
      </c>
      <c r="L7" s="5" t="n">
        <f aca="false">IF($K7="Y",ROUND($E7/11,2),0)</f>
        <v>0</v>
      </c>
      <c r="M7" s="2" t="s">
        <v>38</v>
      </c>
      <c r="N7" s="2" t="s">
        <v>28</v>
      </c>
      <c r="O7" s="2" t="s">
        <v>30</v>
      </c>
    </row>
    <row r="8" customFormat="false" ht="15" hidden="false" customHeight="false" outlineLevel="0" collapsed="false">
      <c r="A8" s="2" t="s">
        <v>45</v>
      </c>
      <c r="B8" s="4" t="n">
        <v>45378</v>
      </c>
      <c r="C8" s="2" t="n">
        <v>4</v>
      </c>
      <c r="D8" s="2" t="s">
        <v>46</v>
      </c>
      <c r="E8" s="5" t="n">
        <v>200</v>
      </c>
      <c r="F8" s="5" t="n">
        <v>0</v>
      </c>
      <c r="G8" s="5" t="n">
        <v>935.28</v>
      </c>
      <c r="H8" s="7" t="s">
        <v>36</v>
      </c>
      <c r="I8" s="7" t="s">
        <v>37</v>
      </c>
      <c r="J8" s="6" t="n">
        <v>0.7</v>
      </c>
      <c r="K8" s="2" t="s">
        <v>29</v>
      </c>
      <c r="L8" s="5" t="n">
        <f aca="false">IF($K8="Y",ROUND($E8/11,2),0)</f>
        <v>0</v>
      </c>
      <c r="M8" s="2" t="s">
        <v>38</v>
      </c>
      <c r="N8" s="2" t="s">
        <v>28</v>
      </c>
      <c r="O8" s="2" t="s">
        <v>30</v>
      </c>
    </row>
    <row r="9" customFormat="false" ht="15" hidden="false" customHeight="false" outlineLevel="0" collapsed="false">
      <c r="A9" s="2" t="s">
        <v>47</v>
      </c>
      <c r="B9" s="4" t="n">
        <v>45379</v>
      </c>
      <c r="C9" s="2" t="n">
        <v>4</v>
      </c>
      <c r="D9" s="2" t="s">
        <v>48</v>
      </c>
      <c r="E9" s="5" t="n">
        <v>110.41</v>
      </c>
      <c r="F9" s="5" t="n">
        <v>0</v>
      </c>
      <c r="G9" s="5" t="n">
        <v>824.87</v>
      </c>
      <c r="H9" s="2" t="s">
        <v>26</v>
      </c>
      <c r="I9" s="2" t="s">
        <v>27</v>
      </c>
      <c r="J9" s="6" t="n">
        <v>0.7</v>
      </c>
      <c r="K9" s="2" t="s">
        <v>28</v>
      </c>
      <c r="L9" s="5" t="n">
        <f aca="false">IF($K9="Y",ROUND($E9/11,2),0)</f>
        <v>10.04</v>
      </c>
      <c r="M9" s="2"/>
      <c r="N9" s="2" t="s">
        <v>29</v>
      </c>
      <c r="O9" s="2" t="s">
        <v>30</v>
      </c>
    </row>
    <row r="10" customFormat="false" ht="15" hidden="false" customHeight="false" outlineLevel="0" collapsed="false">
      <c r="A10" s="2" t="s">
        <v>49</v>
      </c>
      <c r="B10" s="4" t="n">
        <v>45384</v>
      </c>
      <c r="C10" s="2" t="n">
        <v>4</v>
      </c>
      <c r="D10" s="2" t="s">
        <v>50</v>
      </c>
      <c r="E10" s="5" t="n">
        <v>0</v>
      </c>
      <c r="F10" s="5" t="n">
        <v>9460</v>
      </c>
      <c r="G10" s="5" t="n">
        <v>10284.87</v>
      </c>
      <c r="H10" s="7" t="s">
        <v>51</v>
      </c>
      <c r="I10" s="7" t="s">
        <v>27</v>
      </c>
      <c r="J10" s="6" t="n">
        <v>0.55</v>
      </c>
      <c r="K10" s="2" t="s">
        <v>29</v>
      </c>
      <c r="L10" s="5" t="n">
        <f aca="false">IF($K10="Y",ROUND($E10/11,2),0)</f>
        <v>0</v>
      </c>
      <c r="M10" s="2"/>
      <c r="N10" s="2" t="s">
        <v>28</v>
      </c>
      <c r="O10" s="2" t="s">
        <v>52</v>
      </c>
    </row>
    <row r="11" customFormat="false" ht="15" hidden="false" customHeight="false" outlineLevel="0" collapsed="false">
      <c r="A11" s="2" t="s">
        <v>53</v>
      </c>
      <c r="B11" s="4" t="n">
        <v>45384</v>
      </c>
      <c r="C11" s="2" t="n">
        <v>4</v>
      </c>
      <c r="D11" s="2" t="s">
        <v>54</v>
      </c>
      <c r="E11" s="5" t="n">
        <v>150</v>
      </c>
      <c r="F11" s="5" t="n">
        <v>0</v>
      </c>
      <c r="G11" s="5" t="n">
        <v>10134.87</v>
      </c>
      <c r="H11" s="7" t="s">
        <v>36</v>
      </c>
      <c r="I11" s="7" t="s">
        <v>37</v>
      </c>
      <c r="J11" s="6" t="n">
        <v>0.7</v>
      </c>
      <c r="K11" s="2" t="s">
        <v>29</v>
      </c>
      <c r="L11" s="5" t="n">
        <f aca="false">IF($K11="Y",ROUND($E11/11,2),0)</f>
        <v>0</v>
      </c>
      <c r="M11" s="2" t="s">
        <v>38</v>
      </c>
      <c r="N11" s="2" t="s">
        <v>28</v>
      </c>
      <c r="O11" s="2" t="s">
        <v>52</v>
      </c>
    </row>
    <row r="12" customFormat="false" ht="15" hidden="false" customHeight="false" outlineLevel="0" collapsed="false">
      <c r="A12" s="2" t="s">
        <v>55</v>
      </c>
      <c r="B12" s="4" t="n">
        <v>45384</v>
      </c>
      <c r="C12" s="2" t="n">
        <v>4</v>
      </c>
      <c r="D12" s="2" t="s">
        <v>56</v>
      </c>
      <c r="E12" s="5" t="n">
        <v>670</v>
      </c>
      <c r="F12" s="5" t="n">
        <v>0</v>
      </c>
      <c r="G12" s="5" t="n">
        <v>9464.87</v>
      </c>
      <c r="H12" s="7" t="s">
        <v>36</v>
      </c>
      <c r="I12" s="7" t="s">
        <v>37</v>
      </c>
      <c r="J12" s="6" t="n">
        <v>0.7</v>
      </c>
      <c r="K12" s="2" t="s">
        <v>29</v>
      </c>
      <c r="L12" s="5" t="n">
        <f aca="false">IF($K12="Y",ROUND($E12/11,2),0)</f>
        <v>0</v>
      </c>
      <c r="M12" s="2" t="s">
        <v>38</v>
      </c>
      <c r="N12" s="2" t="s">
        <v>28</v>
      </c>
      <c r="O12" s="2" t="s">
        <v>52</v>
      </c>
    </row>
    <row r="13" customFormat="false" ht="15" hidden="false" customHeight="false" outlineLevel="0" collapsed="false">
      <c r="A13" s="2" t="s">
        <v>57</v>
      </c>
      <c r="B13" s="4" t="n">
        <v>45384</v>
      </c>
      <c r="C13" s="2" t="n">
        <v>4</v>
      </c>
      <c r="D13" s="2" t="s">
        <v>58</v>
      </c>
      <c r="E13" s="5" t="n">
        <v>1173</v>
      </c>
      <c r="F13" s="5" t="n">
        <v>0</v>
      </c>
      <c r="G13" s="5" t="n">
        <v>8291.87</v>
      </c>
      <c r="H13" s="7" t="s">
        <v>36</v>
      </c>
      <c r="I13" s="7" t="s">
        <v>37</v>
      </c>
      <c r="J13" s="6" t="n">
        <v>0.7</v>
      </c>
      <c r="K13" s="2" t="s">
        <v>29</v>
      </c>
      <c r="L13" s="5" t="n">
        <f aca="false">IF($K13="Y",ROUND($E13/11,2),0)</f>
        <v>0</v>
      </c>
      <c r="M13" s="2" t="s">
        <v>38</v>
      </c>
      <c r="N13" s="2" t="s">
        <v>28</v>
      </c>
      <c r="O13" s="2" t="s">
        <v>52</v>
      </c>
    </row>
    <row r="14" customFormat="false" ht="15" hidden="false" customHeight="false" outlineLevel="0" collapsed="false">
      <c r="A14" s="2" t="s">
        <v>59</v>
      </c>
      <c r="B14" s="4" t="n">
        <v>45385</v>
      </c>
      <c r="C14" s="2" t="n">
        <v>4</v>
      </c>
      <c r="D14" s="2" t="s">
        <v>60</v>
      </c>
      <c r="E14" s="5" t="n">
        <v>50</v>
      </c>
      <c r="F14" s="5" t="n">
        <v>0</v>
      </c>
      <c r="G14" s="5" t="n">
        <v>8241.87</v>
      </c>
      <c r="H14" s="7" t="s">
        <v>36</v>
      </c>
      <c r="I14" s="7" t="s">
        <v>37</v>
      </c>
      <c r="J14" s="6" t="n">
        <v>0.7</v>
      </c>
      <c r="K14" s="2" t="s">
        <v>29</v>
      </c>
      <c r="L14" s="5" t="n">
        <f aca="false">IF($K14="Y",ROUND($E14/11,2),0)</f>
        <v>0</v>
      </c>
      <c r="M14" s="2" t="s">
        <v>38</v>
      </c>
      <c r="N14" s="2" t="s">
        <v>28</v>
      </c>
      <c r="O14" s="2" t="s">
        <v>52</v>
      </c>
    </row>
    <row r="15" customFormat="false" ht="15" hidden="false" customHeight="false" outlineLevel="0" collapsed="false">
      <c r="A15" s="2" t="s">
        <v>61</v>
      </c>
      <c r="B15" s="4" t="n">
        <v>45385</v>
      </c>
      <c r="C15" s="2" t="n">
        <v>4</v>
      </c>
      <c r="D15" s="2" t="s">
        <v>62</v>
      </c>
      <c r="E15" s="5" t="n">
        <v>500</v>
      </c>
      <c r="F15" s="5" t="n">
        <v>0</v>
      </c>
      <c r="G15" s="5" t="n">
        <v>7741.87</v>
      </c>
      <c r="H15" s="7" t="s">
        <v>36</v>
      </c>
      <c r="I15" s="7" t="s">
        <v>37</v>
      </c>
      <c r="J15" s="6" t="n">
        <v>0.7</v>
      </c>
      <c r="K15" s="2" t="s">
        <v>29</v>
      </c>
      <c r="L15" s="5" t="n">
        <f aca="false">IF($K15="Y",ROUND($E15/11,2),0)</f>
        <v>0</v>
      </c>
      <c r="M15" s="2" t="s">
        <v>38</v>
      </c>
      <c r="N15" s="2" t="s">
        <v>28</v>
      </c>
      <c r="O15" s="2" t="s">
        <v>52</v>
      </c>
    </row>
    <row r="16" customFormat="false" ht="15" hidden="false" customHeight="false" outlineLevel="0" collapsed="false">
      <c r="A16" s="2" t="s">
        <v>63</v>
      </c>
      <c r="B16" s="4" t="n">
        <v>45386</v>
      </c>
      <c r="C16" s="2" t="n">
        <v>4</v>
      </c>
      <c r="D16" s="2" t="s">
        <v>64</v>
      </c>
      <c r="E16" s="5" t="n">
        <v>97.29</v>
      </c>
      <c r="F16" s="5" t="n">
        <v>0</v>
      </c>
      <c r="G16" s="5" t="n">
        <v>7644.58</v>
      </c>
      <c r="H16" s="7" t="s">
        <v>65</v>
      </c>
      <c r="I16" s="7" t="s">
        <v>27</v>
      </c>
      <c r="J16" s="6" t="n">
        <v>0.6</v>
      </c>
      <c r="K16" s="2" t="s">
        <v>28</v>
      </c>
      <c r="L16" s="5" t="n">
        <f aca="false">IF($K16="Y",ROUND($E16/11,2),0)</f>
        <v>8.84</v>
      </c>
      <c r="M16" s="2"/>
      <c r="N16" s="2" t="s">
        <v>28</v>
      </c>
      <c r="O16" s="2" t="s">
        <v>52</v>
      </c>
    </row>
    <row r="17" customFormat="false" ht="15" hidden="false" customHeight="false" outlineLevel="0" collapsed="false">
      <c r="A17" s="2" t="s">
        <v>66</v>
      </c>
      <c r="B17" s="4" t="n">
        <v>45386</v>
      </c>
      <c r="C17" s="2" t="n">
        <v>4</v>
      </c>
      <c r="D17" s="2" t="s">
        <v>67</v>
      </c>
      <c r="E17" s="5" t="n">
        <v>600</v>
      </c>
      <c r="F17" s="5" t="n">
        <v>0</v>
      </c>
      <c r="G17" s="5" t="n">
        <v>7044.58</v>
      </c>
      <c r="H17" s="7" t="s">
        <v>36</v>
      </c>
      <c r="I17" s="7" t="s">
        <v>37</v>
      </c>
      <c r="J17" s="6" t="n">
        <v>0.7</v>
      </c>
      <c r="K17" s="2" t="s">
        <v>29</v>
      </c>
      <c r="L17" s="5" t="n">
        <f aca="false">IF($K17="Y",ROUND($E17/11,2),0)</f>
        <v>0</v>
      </c>
      <c r="M17" s="2" t="s">
        <v>38</v>
      </c>
      <c r="N17" s="2" t="s">
        <v>28</v>
      </c>
      <c r="O17" s="2" t="s">
        <v>52</v>
      </c>
    </row>
    <row r="18" customFormat="false" ht="15" hidden="false" customHeight="false" outlineLevel="0" collapsed="false">
      <c r="A18" s="2" t="s">
        <v>68</v>
      </c>
      <c r="B18" s="4" t="n">
        <v>45387</v>
      </c>
      <c r="C18" s="2" t="n">
        <v>4</v>
      </c>
      <c r="D18" s="2" t="s">
        <v>69</v>
      </c>
      <c r="E18" s="5" t="n">
        <v>20</v>
      </c>
      <c r="F18" s="5" t="n">
        <v>0</v>
      </c>
      <c r="G18" s="5" t="n">
        <v>7024.58</v>
      </c>
      <c r="H18" s="7" t="s">
        <v>36</v>
      </c>
      <c r="I18" s="7" t="s">
        <v>37</v>
      </c>
      <c r="J18" s="6" t="n">
        <v>0.7</v>
      </c>
      <c r="K18" s="2" t="s">
        <v>29</v>
      </c>
      <c r="L18" s="5" t="n">
        <f aca="false">IF($K18="Y",ROUND($E18/11,2),0)</f>
        <v>0</v>
      </c>
      <c r="M18" s="2" t="s">
        <v>38</v>
      </c>
      <c r="N18" s="2" t="s">
        <v>28</v>
      </c>
      <c r="O18" s="2" t="s">
        <v>52</v>
      </c>
    </row>
    <row r="19" customFormat="false" ht="15" hidden="false" customHeight="false" outlineLevel="0" collapsed="false">
      <c r="A19" s="2" t="s">
        <v>70</v>
      </c>
      <c r="B19" s="4" t="n">
        <v>45387</v>
      </c>
      <c r="C19" s="2" t="n">
        <v>4</v>
      </c>
      <c r="D19" s="2" t="s">
        <v>71</v>
      </c>
      <c r="E19" s="5" t="n">
        <v>35</v>
      </c>
      <c r="F19" s="5" t="n">
        <v>0</v>
      </c>
      <c r="G19" s="5" t="n">
        <v>6989.58</v>
      </c>
      <c r="H19" s="7" t="s">
        <v>36</v>
      </c>
      <c r="I19" s="7" t="s">
        <v>37</v>
      </c>
      <c r="J19" s="6" t="n">
        <v>0.7</v>
      </c>
      <c r="K19" s="2" t="s">
        <v>29</v>
      </c>
      <c r="L19" s="5" t="n">
        <f aca="false">IF($K19="Y",ROUND($E19/11,2),0)</f>
        <v>0</v>
      </c>
      <c r="M19" s="2" t="s">
        <v>38</v>
      </c>
      <c r="N19" s="2" t="s">
        <v>28</v>
      </c>
      <c r="O19" s="2" t="s">
        <v>52</v>
      </c>
    </row>
    <row r="20" customFormat="false" ht="15" hidden="false" customHeight="false" outlineLevel="0" collapsed="false">
      <c r="A20" s="2" t="s">
        <v>72</v>
      </c>
      <c r="B20" s="4" t="n">
        <v>45387</v>
      </c>
      <c r="C20" s="2" t="n">
        <v>4</v>
      </c>
      <c r="D20" s="2" t="s">
        <v>73</v>
      </c>
      <c r="E20" s="5" t="n">
        <v>1000</v>
      </c>
      <c r="F20" s="5" t="n">
        <v>0</v>
      </c>
      <c r="G20" s="5" t="n">
        <v>5989.58</v>
      </c>
      <c r="H20" s="7" t="s">
        <v>36</v>
      </c>
      <c r="I20" s="7" t="s">
        <v>37</v>
      </c>
      <c r="J20" s="6" t="n">
        <v>0.7</v>
      </c>
      <c r="K20" s="2" t="s">
        <v>29</v>
      </c>
      <c r="L20" s="5" t="n">
        <f aca="false">IF($K20="Y",ROUND($E20/11,2),0)</f>
        <v>0</v>
      </c>
      <c r="M20" s="2" t="s">
        <v>38</v>
      </c>
      <c r="N20" s="2" t="s">
        <v>28</v>
      </c>
      <c r="O20" s="2" t="s">
        <v>52</v>
      </c>
    </row>
    <row r="21" customFormat="false" ht="15" hidden="false" customHeight="false" outlineLevel="0" collapsed="false">
      <c r="A21" s="2" t="s">
        <v>74</v>
      </c>
      <c r="B21" s="4" t="n">
        <v>45390</v>
      </c>
      <c r="C21" s="2" t="n">
        <v>4</v>
      </c>
      <c r="D21" s="2" t="s">
        <v>75</v>
      </c>
      <c r="E21" s="5" t="n">
        <v>35</v>
      </c>
      <c r="F21" s="5" t="n">
        <v>0</v>
      </c>
      <c r="G21" s="5" t="n">
        <v>5954.58</v>
      </c>
      <c r="H21" s="7" t="s">
        <v>36</v>
      </c>
      <c r="I21" s="7" t="s">
        <v>37</v>
      </c>
      <c r="J21" s="6" t="n">
        <v>0.7</v>
      </c>
      <c r="K21" s="2" t="s">
        <v>29</v>
      </c>
      <c r="L21" s="5" t="n">
        <f aca="false">IF($K21="Y",ROUND($E21/11,2),0)</f>
        <v>0</v>
      </c>
      <c r="M21" s="2" t="s">
        <v>38</v>
      </c>
      <c r="N21" s="2" t="s">
        <v>28</v>
      </c>
      <c r="O21" s="2" t="s">
        <v>52</v>
      </c>
    </row>
    <row r="22" customFormat="false" ht="15" hidden="false" customHeight="false" outlineLevel="0" collapsed="false">
      <c r="A22" s="2" t="s">
        <v>76</v>
      </c>
      <c r="B22" s="4" t="n">
        <v>45390</v>
      </c>
      <c r="C22" s="2" t="n">
        <v>4</v>
      </c>
      <c r="D22" s="2" t="s">
        <v>77</v>
      </c>
      <c r="E22" s="5" t="n">
        <v>94.92</v>
      </c>
      <c r="F22" s="5" t="n">
        <v>0</v>
      </c>
      <c r="G22" s="5" t="n">
        <v>5859.66</v>
      </c>
      <c r="H22" s="2" t="s">
        <v>26</v>
      </c>
      <c r="I22" s="2" t="s">
        <v>27</v>
      </c>
      <c r="J22" s="6" t="n">
        <v>0.7</v>
      </c>
      <c r="K22" s="2" t="s">
        <v>28</v>
      </c>
      <c r="L22" s="5" t="n">
        <f aca="false">IF($K22="Y",ROUND($E22/11,2),0)</f>
        <v>8.63</v>
      </c>
      <c r="M22" s="2"/>
      <c r="N22" s="2" t="s">
        <v>29</v>
      </c>
      <c r="O22" s="2" t="s">
        <v>52</v>
      </c>
    </row>
    <row r="23" customFormat="false" ht="15" hidden="false" customHeight="false" outlineLevel="0" collapsed="false">
      <c r="A23" s="2" t="s">
        <v>78</v>
      </c>
      <c r="B23" s="4" t="n">
        <v>45390</v>
      </c>
      <c r="C23" s="2" t="n">
        <v>4</v>
      </c>
      <c r="D23" s="2" t="s">
        <v>79</v>
      </c>
      <c r="E23" s="5" t="n">
        <v>100</v>
      </c>
      <c r="F23" s="5" t="n">
        <v>0</v>
      </c>
      <c r="G23" s="5" t="n">
        <v>5759.66</v>
      </c>
      <c r="H23" s="7" t="s">
        <v>36</v>
      </c>
      <c r="I23" s="7" t="s">
        <v>37</v>
      </c>
      <c r="J23" s="6" t="n">
        <v>0.7</v>
      </c>
      <c r="K23" s="2" t="s">
        <v>29</v>
      </c>
      <c r="L23" s="5" t="n">
        <f aca="false">IF($K23="Y",ROUND($E23/11,2),0)</f>
        <v>0</v>
      </c>
      <c r="M23" s="2" t="s">
        <v>38</v>
      </c>
      <c r="N23" s="2" t="s">
        <v>28</v>
      </c>
      <c r="O23" s="2" t="s">
        <v>52</v>
      </c>
    </row>
    <row r="24" customFormat="false" ht="15" hidden="false" customHeight="false" outlineLevel="0" collapsed="false">
      <c r="A24" s="2" t="s">
        <v>80</v>
      </c>
      <c r="B24" s="4" t="n">
        <v>45390</v>
      </c>
      <c r="C24" s="2" t="n">
        <v>4</v>
      </c>
      <c r="D24" s="2" t="s">
        <v>81</v>
      </c>
      <c r="E24" s="5" t="n">
        <v>102.45</v>
      </c>
      <c r="F24" s="5" t="n">
        <v>0</v>
      </c>
      <c r="G24" s="5" t="n">
        <v>5657.21</v>
      </c>
      <c r="H24" s="2" t="s">
        <v>26</v>
      </c>
      <c r="I24" s="2" t="s">
        <v>27</v>
      </c>
      <c r="J24" s="6" t="n">
        <v>0.7</v>
      </c>
      <c r="K24" s="2" t="s">
        <v>28</v>
      </c>
      <c r="L24" s="5" t="n">
        <f aca="false">IF($K24="Y",ROUND($E24/11,2),0)</f>
        <v>9.31</v>
      </c>
      <c r="M24" s="2"/>
      <c r="N24" s="2" t="s">
        <v>29</v>
      </c>
      <c r="O24" s="2" t="s">
        <v>52</v>
      </c>
    </row>
    <row r="25" customFormat="false" ht="15" hidden="false" customHeight="false" outlineLevel="0" collapsed="false">
      <c r="A25" s="2" t="s">
        <v>82</v>
      </c>
      <c r="B25" s="4" t="n">
        <v>45390</v>
      </c>
      <c r="C25" s="2" t="n">
        <v>4</v>
      </c>
      <c r="D25" s="2" t="s">
        <v>83</v>
      </c>
      <c r="E25" s="5" t="n">
        <v>200</v>
      </c>
      <c r="F25" s="5" t="n">
        <v>0</v>
      </c>
      <c r="G25" s="5" t="n">
        <v>5457.21</v>
      </c>
      <c r="H25" s="7" t="s">
        <v>36</v>
      </c>
      <c r="I25" s="7" t="s">
        <v>37</v>
      </c>
      <c r="J25" s="6" t="n">
        <v>0.7</v>
      </c>
      <c r="K25" s="2" t="s">
        <v>29</v>
      </c>
      <c r="L25" s="5" t="n">
        <f aca="false">IF($K25="Y",ROUND($E25/11,2),0)</f>
        <v>0</v>
      </c>
      <c r="M25" s="2" t="s">
        <v>38</v>
      </c>
      <c r="N25" s="2" t="s">
        <v>28</v>
      </c>
      <c r="O25" s="2" t="s">
        <v>52</v>
      </c>
    </row>
    <row r="26" customFormat="false" ht="15" hidden="false" customHeight="false" outlineLevel="0" collapsed="false">
      <c r="A26" s="2" t="s">
        <v>84</v>
      </c>
      <c r="B26" s="4" t="n">
        <v>45390</v>
      </c>
      <c r="C26" s="2" t="n">
        <v>4</v>
      </c>
      <c r="D26" s="2" t="s">
        <v>85</v>
      </c>
      <c r="E26" s="5" t="n">
        <v>250</v>
      </c>
      <c r="F26" s="5" t="n">
        <v>0</v>
      </c>
      <c r="G26" s="5" t="n">
        <v>5207.21</v>
      </c>
      <c r="H26" s="7" t="s">
        <v>36</v>
      </c>
      <c r="I26" s="7" t="s">
        <v>37</v>
      </c>
      <c r="J26" s="6" t="n">
        <v>0.7</v>
      </c>
      <c r="K26" s="2" t="s">
        <v>29</v>
      </c>
      <c r="L26" s="5" t="n">
        <f aca="false">IF($K26="Y",ROUND($E26/11,2),0)</f>
        <v>0</v>
      </c>
      <c r="M26" s="2" t="s">
        <v>38</v>
      </c>
      <c r="N26" s="2" t="s">
        <v>28</v>
      </c>
      <c r="O26" s="2" t="s">
        <v>52</v>
      </c>
    </row>
    <row r="27" customFormat="false" ht="15" hidden="false" customHeight="false" outlineLevel="0" collapsed="false">
      <c r="A27" s="2" t="s">
        <v>86</v>
      </c>
      <c r="B27" s="4" t="n">
        <v>45390</v>
      </c>
      <c r="C27" s="2" t="n">
        <v>4</v>
      </c>
      <c r="D27" s="2" t="s">
        <v>87</v>
      </c>
      <c r="E27" s="5" t="n">
        <v>400</v>
      </c>
      <c r="F27" s="5" t="n">
        <v>0</v>
      </c>
      <c r="G27" s="5" t="n">
        <v>4807.21</v>
      </c>
      <c r="H27" s="7" t="s">
        <v>36</v>
      </c>
      <c r="I27" s="7" t="s">
        <v>37</v>
      </c>
      <c r="J27" s="6" t="n">
        <v>0.7</v>
      </c>
      <c r="K27" s="2" t="s">
        <v>29</v>
      </c>
      <c r="L27" s="5" t="n">
        <f aca="false">IF($K27="Y",ROUND($E27/11,2),0)</f>
        <v>0</v>
      </c>
      <c r="M27" s="2" t="s">
        <v>38</v>
      </c>
      <c r="N27" s="2" t="s">
        <v>28</v>
      </c>
      <c r="O27" s="2" t="s">
        <v>52</v>
      </c>
    </row>
    <row r="28" customFormat="false" ht="15" hidden="false" customHeight="false" outlineLevel="0" collapsed="false">
      <c r="A28" s="2" t="s">
        <v>88</v>
      </c>
      <c r="B28" s="4" t="n">
        <v>45392</v>
      </c>
      <c r="C28" s="2" t="n">
        <v>4</v>
      </c>
      <c r="D28" s="2" t="s">
        <v>89</v>
      </c>
      <c r="E28" s="5" t="n">
        <v>104.55</v>
      </c>
      <c r="F28" s="5" t="n">
        <v>0</v>
      </c>
      <c r="G28" s="5" t="n">
        <v>4702.66</v>
      </c>
      <c r="H28" s="2" t="s">
        <v>33</v>
      </c>
      <c r="I28" s="2" t="s">
        <v>27</v>
      </c>
      <c r="J28" s="6" t="n">
        <v>0.8</v>
      </c>
      <c r="K28" s="2" t="s">
        <v>28</v>
      </c>
      <c r="L28" s="5" t="n">
        <f aca="false">IF($K28="Y",ROUND($E28/11,2),0)</f>
        <v>9.5</v>
      </c>
      <c r="M28" s="2"/>
      <c r="N28" s="2" t="s">
        <v>29</v>
      </c>
      <c r="O28" s="2" t="s">
        <v>52</v>
      </c>
    </row>
    <row r="29" customFormat="false" ht="15" hidden="false" customHeight="false" outlineLevel="0" collapsed="false">
      <c r="A29" s="2" t="s">
        <v>90</v>
      </c>
      <c r="B29" s="4" t="n">
        <v>45393</v>
      </c>
      <c r="C29" s="2" t="n">
        <v>4</v>
      </c>
      <c r="D29" s="2" t="s">
        <v>91</v>
      </c>
      <c r="E29" s="5" t="n">
        <v>27</v>
      </c>
      <c r="F29" s="5" t="n">
        <v>0</v>
      </c>
      <c r="G29" s="5" t="n">
        <v>4675.66</v>
      </c>
      <c r="H29" s="2" t="s">
        <v>33</v>
      </c>
      <c r="I29" s="2" t="s">
        <v>27</v>
      </c>
      <c r="J29" s="6" t="n">
        <v>0.8</v>
      </c>
      <c r="K29" s="2" t="s">
        <v>28</v>
      </c>
      <c r="L29" s="5" t="n">
        <f aca="false">IF($K29="Y",ROUND($E29/11,2),0)</f>
        <v>2.45</v>
      </c>
      <c r="M29" s="2"/>
      <c r="N29" s="2" t="s">
        <v>29</v>
      </c>
      <c r="O29" s="2" t="s">
        <v>52</v>
      </c>
    </row>
    <row r="30" customFormat="false" ht="15" hidden="false" customHeight="false" outlineLevel="0" collapsed="false">
      <c r="A30" s="2" t="s">
        <v>92</v>
      </c>
      <c r="B30" s="4" t="n">
        <v>45393</v>
      </c>
      <c r="C30" s="2" t="n">
        <v>4</v>
      </c>
      <c r="D30" s="2" t="s">
        <v>93</v>
      </c>
      <c r="E30" s="5" t="n">
        <v>99.25</v>
      </c>
      <c r="F30" s="5" t="n">
        <v>0</v>
      </c>
      <c r="G30" s="5" t="n">
        <v>4576.41</v>
      </c>
      <c r="H30" s="2" t="s">
        <v>26</v>
      </c>
      <c r="I30" s="2" t="s">
        <v>27</v>
      </c>
      <c r="J30" s="6" t="n">
        <v>0.7</v>
      </c>
      <c r="K30" s="2" t="s">
        <v>28</v>
      </c>
      <c r="L30" s="5" t="n">
        <f aca="false">IF($K30="Y",ROUND($E30/11,2),0)</f>
        <v>9.02</v>
      </c>
      <c r="M30" s="2"/>
      <c r="N30" s="2" t="s">
        <v>29</v>
      </c>
      <c r="O30" s="2" t="s">
        <v>52</v>
      </c>
    </row>
    <row r="31" customFormat="false" ht="15" hidden="false" customHeight="false" outlineLevel="0" collapsed="false">
      <c r="A31" s="2" t="s">
        <v>94</v>
      </c>
      <c r="B31" s="4" t="n">
        <v>45393</v>
      </c>
      <c r="C31" s="2" t="n">
        <v>4</v>
      </c>
      <c r="D31" s="2" t="s">
        <v>32</v>
      </c>
      <c r="E31" s="5" t="n">
        <v>193.46</v>
      </c>
      <c r="F31" s="5" t="n">
        <v>0</v>
      </c>
      <c r="G31" s="5" t="n">
        <v>4382.95</v>
      </c>
      <c r="H31" s="2" t="s">
        <v>33</v>
      </c>
      <c r="I31" s="2" t="s">
        <v>27</v>
      </c>
      <c r="J31" s="6" t="n">
        <v>0.8</v>
      </c>
      <c r="K31" s="2" t="s">
        <v>28</v>
      </c>
      <c r="L31" s="5" t="n">
        <f aca="false">IF($K31="Y",ROUND($E31/11,2),0)</f>
        <v>17.59</v>
      </c>
      <c r="M31" s="2"/>
      <c r="N31" s="2" t="s">
        <v>29</v>
      </c>
      <c r="O31" s="2" t="s">
        <v>52</v>
      </c>
    </row>
    <row r="32" customFormat="false" ht="15" hidden="false" customHeight="false" outlineLevel="0" collapsed="false">
      <c r="A32" s="2" t="s">
        <v>95</v>
      </c>
      <c r="B32" s="4" t="n">
        <v>45394</v>
      </c>
      <c r="C32" s="2" t="n">
        <v>4</v>
      </c>
      <c r="D32" s="2" t="s">
        <v>96</v>
      </c>
      <c r="E32" s="5" t="n">
        <v>500</v>
      </c>
      <c r="F32" s="5" t="n">
        <v>0</v>
      </c>
      <c r="G32" s="5" t="n">
        <v>3882.95</v>
      </c>
      <c r="H32" s="7" t="s">
        <v>36</v>
      </c>
      <c r="I32" s="7" t="s">
        <v>37</v>
      </c>
      <c r="J32" s="6" t="n">
        <v>0.7</v>
      </c>
      <c r="K32" s="2" t="s">
        <v>29</v>
      </c>
      <c r="L32" s="5" t="n">
        <f aca="false">IF($K32="Y",ROUND($E32/11,2),0)</f>
        <v>0</v>
      </c>
      <c r="M32" s="2" t="s">
        <v>38</v>
      </c>
      <c r="N32" s="2" t="s">
        <v>28</v>
      </c>
      <c r="O32" s="2" t="s">
        <v>52</v>
      </c>
    </row>
    <row r="33" customFormat="false" ht="15" hidden="false" customHeight="false" outlineLevel="0" collapsed="false">
      <c r="A33" s="2" t="s">
        <v>97</v>
      </c>
      <c r="B33" s="4" t="n">
        <v>45397</v>
      </c>
      <c r="C33" s="2" t="n">
        <v>4</v>
      </c>
      <c r="D33" s="2" t="s">
        <v>98</v>
      </c>
      <c r="E33" s="5" t="n">
        <v>30</v>
      </c>
      <c r="F33" s="5" t="n">
        <v>0</v>
      </c>
      <c r="G33" s="5" t="n">
        <v>3852.95</v>
      </c>
      <c r="H33" s="7" t="s">
        <v>36</v>
      </c>
      <c r="I33" s="7" t="s">
        <v>37</v>
      </c>
      <c r="J33" s="6" t="n">
        <v>0.7</v>
      </c>
      <c r="K33" s="2" t="s">
        <v>29</v>
      </c>
      <c r="L33" s="5" t="n">
        <f aca="false">IF($K33="Y",ROUND($E33/11,2),0)</f>
        <v>0</v>
      </c>
      <c r="M33" s="2" t="s">
        <v>38</v>
      </c>
      <c r="N33" s="2" t="s">
        <v>28</v>
      </c>
      <c r="O33" s="2" t="s">
        <v>52</v>
      </c>
    </row>
    <row r="34" customFormat="false" ht="15" hidden="false" customHeight="false" outlineLevel="0" collapsed="false">
      <c r="A34" s="2" t="s">
        <v>99</v>
      </c>
      <c r="B34" s="4" t="n">
        <v>45397</v>
      </c>
      <c r="C34" s="2" t="n">
        <v>4</v>
      </c>
      <c r="D34" s="2" t="s">
        <v>100</v>
      </c>
      <c r="E34" s="5" t="n">
        <v>50</v>
      </c>
      <c r="F34" s="5" t="n">
        <v>0</v>
      </c>
      <c r="G34" s="5" t="n">
        <v>3802.95</v>
      </c>
      <c r="H34" s="7" t="s">
        <v>36</v>
      </c>
      <c r="I34" s="7" t="s">
        <v>37</v>
      </c>
      <c r="J34" s="6" t="n">
        <v>0.7</v>
      </c>
      <c r="K34" s="2" t="s">
        <v>29</v>
      </c>
      <c r="L34" s="5" t="n">
        <f aca="false">IF($K34="Y",ROUND($E34/11,2),0)</f>
        <v>0</v>
      </c>
      <c r="M34" s="2" t="s">
        <v>38</v>
      </c>
      <c r="N34" s="2" t="s">
        <v>28</v>
      </c>
      <c r="O34" s="2" t="s">
        <v>52</v>
      </c>
    </row>
    <row r="35" customFormat="false" ht="15" hidden="false" customHeight="false" outlineLevel="0" collapsed="false">
      <c r="A35" s="2" t="s">
        <v>101</v>
      </c>
      <c r="B35" s="4" t="n">
        <v>45397</v>
      </c>
      <c r="C35" s="2" t="n">
        <v>4</v>
      </c>
      <c r="D35" s="2" t="s">
        <v>102</v>
      </c>
      <c r="E35" s="5" t="n">
        <v>60.18</v>
      </c>
      <c r="F35" s="5" t="n">
        <v>0</v>
      </c>
      <c r="G35" s="5" t="n">
        <v>3742.77</v>
      </c>
      <c r="H35" s="2" t="s">
        <v>26</v>
      </c>
      <c r="I35" s="2" t="s">
        <v>27</v>
      </c>
      <c r="J35" s="6" t="n">
        <v>0.7</v>
      </c>
      <c r="K35" s="2" t="s">
        <v>28</v>
      </c>
      <c r="L35" s="5" t="n">
        <f aca="false">IF($K35="Y",ROUND($E35/11,2),0)</f>
        <v>5.47</v>
      </c>
      <c r="M35" s="2"/>
      <c r="N35" s="2" t="s">
        <v>29</v>
      </c>
      <c r="O35" s="2" t="s">
        <v>52</v>
      </c>
    </row>
    <row r="36" customFormat="false" ht="15" hidden="false" customHeight="false" outlineLevel="0" collapsed="false">
      <c r="A36" s="2" t="s">
        <v>103</v>
      </c>
      <c r="B36" s="4" t="n">
        <v>45397</v>
      </c>
      <c r="C36" s="2" t="n">
        <v>4</v>
      </c>
      <c r="D36" s="2" t="s">
        <v>104</v>
      </c>
      <c r="E36" s="5" t="n">
        <v>118.44</v>
      </c>
      <c r="F36" s="5" t="n">
        <v>0</v>
      </c>
      <c r="G36" s="5" t="n">
        <v>3624.33</v>
      </c>
      <c r="H36" s="7" t="s">
        <v>105</v>
      </c>
      <c r="I36" s="7" t="s">
        <v>37</v>
      </c>
      <c r="J36" s="6" t="n">
        <v>0.3</v>
      </c>
      <c r="K36" s="2" t="s">
        <v>29</v>
      </c>
      <c r="L36" s="5" t="n">
        <f aca="false">IF($K36="Y",ROUND($E36/11,2),0)</f>
        <v>0</v>
      </c>
      <c r="M36" s="2"/>
      <c r="N36" s="2" t="s">
        <v>28</v>
      </c>
      <c r="O36" s="2" t="s">
        <v>52</v>
      </c>
    </row>
    <row r="37" customFormat="false" ht="15" hidden="false" customHeight="false" outlineLevel="0" collapsed="false">
      <c r="A37" s="2" t="s">
        <v>106</v>
      </c>
      <c r="B37" s="4" t="n">
        <v>45397</v>
      </c>
      <c r="C37" s="2" t="n">
        <v>4</v>
      </c>
      <c r="D37" s="2" t="s">
        <v>107</v>
      </c>
      <c r="E37" s="5" t="n">
        <v>200</v>
      </c>
      <c r="F37" s="5" t="n">
        <v>0</v>
      </c>
      <c r="G37" s="5" t="n">
        <v>3424.33</v>
      </c>
      <c r="H37" s="7" t="s">
        <v>36</v>
      </c>
      <c r="I37" s="7" t="s">
        <v>37</v>
      </c>
      <c r="J37" s="6" t="n">
        <v>0.7</v>
      </c>
      <c r="K37" s="2" t="s">
        <v>29</v>
      </c>
      <c r="L37" s="5" t="n">
        <f aca="false">IF($K37="Y",ROUND($E37/11,2),0)</f>
        <v>0</v>
      </c>
      <c r="M37" s="2" t="s">
        <v>38</v>
      </c>
      <c r="N37" s="2" t="s">
        <v>28</v>
      </c>
      <c r="O37" s="2" t="s">
        <v>52</v>
      </c>
    </row>
    <row r="38" customFormat="false" ht="15" hidden="false" customHeight="false" outlineLevel="0" collapsed="false">
      <c r="A38" s="2" t="s">
        <v>108</v>
      </c>
      <c r="B38" s="4" t="n">
        <v>45397</v>
      </c>
      <c r="C38" s="2" t="n">
        <v>4</v>
      </c>
      <c r="D38" s="2" t="s">
        <v>109</v>
      </c>
      <c r="E38" s="5" t="n">
        <v>1220</v>
      </c>
      <c r="F38" s="5" t="n">
        <v>0</v>
      </c>
      <c r="G38" s="5" t="n">
        <v>2204.33</v>
      </c>
      <c r="H38" s="7" t="s">
        <v>36</v>
      </c>
      <c r="I38" s="7" t="s">
        <v>37</v>
      </c>
      <c r="J38" s="6" t="n">
        <v>0.7</v>
      </c>
      <c r="K38" s="2" t="s">
        <v>29</v>
      </c>
      <c r="L38" s="5" t="n">
        <f aca="false">IF($K38="Y",ROUND($E38/11,2),0)</f>
        <v>0</v>
      </c>
      <c r="M38" s="2" t="s">
        <v>38</v>
      </c>
      <c r="N38" s="2" t="s">
        <v>28</v>
      </c>
      <c r="O38" s="2" t="s">
        <v>52</v>
      </c>
    </row>
    <row r="39" customFormat="false" ht="15" hidden="false" customHeight="false" outlineLevel="0" collapsed="false">
      <c r="A39" s="2" t="s">
        <v>110</v>
      </c>
      <c r="B39" s="4" t="n">
        <v>45397</v>
      </c>
      <c r="C39" s="2" t="n">
        <v>4</v>
      </c>
      <c r="D39" s="2" t="s">
        <v>104</v>
      </c>
      <c r="E39" s="5" t="n">
        <v>2113.31</v>
      </c>
      <c r="F39" s="5" t="n">
        <v>0</v>
      </c>
      <c r="G39" s="5" t="n">
        <v>91.02</v>
      </c>
      <c r="H39" s="7" t="s">
        <v>105</v>
      </c>
      <c r="I39" s="7" t="s">
        <v>37</v>
      </c>
      <c r="J39" s="6" t="n">
        <v>0.3</v>
      </c>
      <c r="K39" s="2" t="s">
        <v>29</v>
      </c>
      <c r="L39" s="5" t="n">
        <f aca="false">IF($K39="Y",ROUND($E39/11,2),0)</f>
        <v>0</v>
      </c>
      <c r="M39" s="2"/>
      <c r="N39" s="2" t="s">
        <v>28</v>
      </c>
      <c r="O39" s="2" t="s">
        <v>52</v>
      </c>
    </row>
    <row r="40" customFormat="false" ht="15" hidden="false" customHeight="false" outlineLevel="0" collapsed="false">
      <c r="A40" s="2" t="s">
        <v>111</v>
      </c>
      <c r="B40" s="4" t="n">
        <v>45398</v>
      </c>
      <c r="C40" s="2" t="n">
        <v>4</v>
      </c>
      <c r="D40" s="2" t="s">
        <v>112</v>
      </c>
      <c r="E40" s="5" t="n">
        <v>0</v>
      </c>
      <c r="F40" s="5" t="n">
        <v>7695</v>
      </c>
      <c r="G40" s="5" t="n">
        <v>7786.02</v>
      </c>
      <c r="H40" s="7" t="s">
        <v>51</v>
      </c>
      <c r="I40" s="7" t="s">
        <v>27</v>
      </c>
      <c r="J40" s="6" t="n">
        <v>0.55</v>
      </c>
      <c r="K40" s="2" t="s">
        <v>29</v>
      </c>
      <c r="L40" s="5" t="n">
        <f aca="false">IF($K40="Y",ROUND($E40/11,2),0)</f>
        <v>0</v>
      </c>
      <c r="M40" s="2"/>
      <c r="N40" s="2" t="s">
        <v>28</v>
      </c>
      <c r="O40" s="2" t="s">
        <v>52</v>
      </c>
    </row>
    <row r="41" customFormat="false" ht="15" hidden="false" customHeight="false" outlineLevel="0" collapsed="false">
      <c r="A41" s="2" t="s">
        <v>113</v>
      </c>
      <c r="B41" s="4" t="n">
        <v>45398</v>
      </c>
      <c r="C41" s="2" t="n">
        <v>4</v>
      </c>
      <c r="D41" s="2" t="s">
        <v>114</v>
      </c>
      <c r="E41" s="5" t="n">
        <v>16</v>
      </c>
      <c r="F41" s="5" t="n">
        <v>0</v>
      </c>
      <c r="G41" s="5" t="n">
        <v>7770.02</v>
      </c>
      <c r="H41" s="7" t="s">
        <v>65</v>
      </c>
      <c r="I41" s="7" t="s">
        <v>27</v>
      </c>
      <c r="J41" s="6" t="n">
        <v>0.6</v>
      </c>
      <c r="K41" s="2" t="s">
        <v>28</v>
      </c>
      <c r="L41" s="5" t="n">
        <f aca="false">IF($K41="Y",ROUND($E41/11,2),0)</f>
        <v>1.45</v>
      </c>
      <c r="M41" s="2"/>
      <c r="N41" s="2" t="s">
        <v>28</v>
      </c>
      <c r="O41" s="2" t="s">
        <v>52</v>
      </c>
    </row>
    <row r="42" customFormat="false" ht="15" hidden="false" customHeight="false" outlineLevel="0" collapsed="false">
      <c r="A42" s="2" t="s">
        <v>115</v>
      </c>
      <c r="B42" s="4" t="n">
        <v>45399</v>
      </c>
      <c r="C42" s="2" t="n">
        <v>4</v>
      </c>
      <c r="D42" s="2" t="s">
        <v>116</v>
      </c>
      <c r="E42" s="5" t="n">
        <v>50.17</v>
      </c>
      <c r="F42" s="5" t="n">
        <v>0</v>
      </c>
      <c r="G42" s="5" t="n">
        <v>7719.85</v>
      </c>
      <c r="H42" s="2" t="s">
        <v>26</v>
      </c>
      <c r="I42" s="2" t="s">
        <v>27</v>
      </c>
      <c r="J42" s="6" t="n">
        <v>0.7</v>
      </c>
      <c r="K42" s="2" t="s">
        <v>28</v>
      </c>
      <c r="L42" s="5" t="n">
        <f aca="false">IF($K42="Y",ROUND($E42/11,2),0)</f>
        <v>4.56</v>
      </c>
      <c r="M42" s="2"/>
      <c r="N42" s="2" t="s">
        <v>29</v>
      </c>
      <c r="O42" s="2" t="s">
        <v>52</v>
      </c>
    </row>
    <row r="43" customFormat="false" ht="15" hidden="false" customHeight="false" outlineLevel="0" collapsed="false">
      <c r="A43" s="2" t="s">
        <v>117</v>
      </c>
      <c r="B43" s="4" t="n">
        <v>45400</v>
      </c>
      <c r="C43" s="2" t="n">
        <v>4</v>
      </c>
      <c r="D43" s="2" t="s">
        <v>118</v>
      </c>
      <c r="E43" s="5" t="n">
        <v>72.5</v>
      </c>
      <c r="F43" s="5" t="n">
        <v>0</v>
      </c>
      <c r="G43" s="5" t="n">
        <v>7647.35</v>
      </c>
      <c r="H43" s="2" t="s">
        <v>33</v>
      </c>
      <c r="I43" s="2" t="s">
        <v>27</v>
      </c>
      <c r="J43" s="6" t="n">
        <v>0.8</v>
      </c>
      <c r="K43" s="2" t="s">
        <v>28</v>
      </c>
      <c r="L43" s="5" t="n">
        <f aca="false">IF($K43="Y",ROUND($E43/11,2),0)</f>
        <v>6.59</v>
      </c>
      <c r="M43" s="2"/>
      <c r="N43" s="2" t="s">
        <v>29</v>
      </c>
      <c r="O43" s="2" t="s">
        <v>52</v>
      </c>
    </row>
    <row r="44" customFormat="false" ht="15" hidden="false" customHeight="false" outlineLevel="0" collapsed="false">
      <c r="A44" s="2" t="s">
        <v>119</v>
      </c>
      <c r="B44" s="4" t="n">
        <v>45401</v>
      </c>
      <c r="C44" s="2" t="n">
        <v>4</v>
      </c>
      <c r="D44" s="2" t="s">
        <v>120</v>
      </c>
      <c r="E44" s="5" t="n">
        <v>48.6</v>
      </c>
      <c r="F44" s="5" t="n">
        <v>0</v>
      </c>
      <c r="G44" s="5" t="n">
        <v>7598.75</v>
      </c>
      <c r="H44" s="2" t="s">
        <v>33</v>
      </c>
      <c r="I44" s="2" t="s">
        <v>27</v>
      </c>
      <c r="J44" s="6" t="n">
        <v>0.8</v>
      </c>
      <c r="K44" s="2" t="s">
        <v>28</v>
      </c>
      <c r="L44" s="5" t="n">
        <f aca="false">IF($K44="Y",ROUND($E44/11,2),0)</f>
        <v>4.42</v>
      </c>
      <c r="M44" s="2"/>
      <c r="N44" s="2" t="s">
        <v>29</v>
      </c>
      <c r="O44" s="2" t="s">
        <v>52</v>
      </c>
    </row>
    <row r="45" customFormat="false" ht="15" hidden="false" customHeight="false" outlineLevel="0" collapsed="false">
      <c r="A45" s="2" t="s">
        <v>121</v>
      </c>
      <c r="B45" s="4" t="n">
        <v>45401</v>
      </c>
      <c r="C45" s="2" t="n">
        <v>4</v>
      </c>
      <c r="D45" s="2" t="s">
        <v>122</v>
      </c>
      <c r="E45" s="5" t="n">
        <v>500</v>
      </c>
      <c r="F45" s="5" t="n">
        <v>0</v>
      </c>
      <c r="G45" s="5" t="n">
        <v>7098.75</v>
      </c>
      <c r="H45" s="7" t="s">
        <v>36</v>
      </c>
      <c r="I45" s="7" t="s">
        <v>37</v>
      </c>
      <c r="J45" s="6" t="n">
        <v>0.7</v>
      </c>
      <c r="K45" s="2" t="s">
        <v>29</v>
      </c>
      <c r="L45" s="5" t="n">
        <f aca="false">IF($K45="Y",ROUND($E45/11,2),0)</f>
        <v>0</v>
      </c>
      <c r="M45" s="2" t="s">
        <v>38</v>
      </c>
      <c r="N45" s="2" t="s">
        <v>28</v>
      </c>
      <c r="O45" s="2" t="s">
        <v>52</v>
      </c>
    </row>
    <row r="46" customFormat="false" ht="15" hidden="false" customHeight="false" outlineLevel="0" collapsed="false">
      <c r="A46" s="2" t="s">
        <v>123</v>
      </c>
      <c r="B46" s="4" t="n">
        <v>45498</v>
      </c>
      <c r="C46" s="2" t="n">
        <v>8</v>
      </c>
      <c r="D46" s="2" t="s">
        <v>124</v>
      </c>
      <c r="E46" s="5" t="n">
        <v>25</v>
      </c>
      <c r="F46" s="5" t="n">
        <v>0</v>
      </c>
      <c r="G46" s="5" t="n">
        <v>-24.42</v>
      </c>
      <c r="H46" s="2" t="s">
        <v>125</v>
      </c>
      <c r="I46" s="2" t="s">
        <v>27</v>
      </c>
      <c r="J46" s="6" t="n">
        <v>0.8</v>
      </c>
      <c r="K46" s="2" t="s">
        <v>28</v>
      </c>
      <c r="L46" s="5" t="n">
        <f aca="false">IF($K46="Y",ROUND($E46/11,2),0)</f>
        <v>2.27</v>
      </c>
      <c r="M46" s="2"/>
      <c r="N46" s="2" t="s">
        <v>29</v>
      </c>
      <c r="O46" s="2" t="s">
        <v>126</v>
      </c>
    </row>
    <row r="47" customFormat="false" ht="15" hidden="false" customHeight="false" outlineLevel="0" collapsed="false">
      <c r="A47" s="2" t="s">
        <v>127</v>
      </c>
      <c r="B47" s="4" t="n">
        <v>45499</v>
      </c>
      <c r="C47" s="2" t="n">
        <v>8</v>
      </c>
      <c r="D47" s="2" t="s">
        <v>128</v>
      </c>
      <c r="E47" s="5" t="n">
        <v>0</v>
      </c>
      <c r="F47" s="5" t="n">
        <v>25</v>
      </c>
      <c r="G47" s="5" t="n">
        <v>0.58</v>
      </c>
      <c r="H47" s="7" t="s">
        <v>129</v>
      </c>
      <c r="I47" s="7" t="s">
        <v>37</v>
      </c>
      <c r="J47" s="6" t="n">
        <v>0.6</v>
      </c>
      <c r="K47" s="2" t="s">
        <v>29</v>
      </c>
      <c r="L47" s="5" t="n">
        <f aca="false">IF($K47="Y",ROUND($E47/11,2),0)</f>
        <v>0</v>
      </c>
      <c r="M47" s="2" t="s">
        <v>130</v>
      </c>
      <c r="N47" s="2" t="s">
        <v>28</v>
      </c>
      <c r="O47" s="2" t="s">
        <v>126</v>
      </c>
    </row>
    <row r="48" customFormat="false" ht="15" hidden="false" customHeight="false" outlineLevel="0" collapsed="false">
      <c r="A48" s="2" t="s">
        <v>131</v>
      </c>
      <c r="B48" s="4" t="n">
        <v>45499</v>
      </c>
      <c r="C48" s="2" t="n">
        <v>8</v>
      </c>
      <c r="D48" s="2" t="s">
        <v>128</v>
      </c>
      <c r="E48" s="5" t="n">
        <v>0</v>
      </c>
      <c r="F48" s="5" t="n">
        <v>25</v>
      </c>
      <c r="G48" s="5" t="n">
        <v>25.58</v>
      </c>
      <c r="H48" s="7" t="s">
        <v>129</v>
      </c>
      <c r="I48" s="7" t="s">
        <v>37</v>
      </c>
      <c r="J48" s="6" t="n">
        <v>0.6</v>
      </c>
      <c r="K48" s="2" t="s">
        <v>29</v>
      </c>
      <c r="L48" s="5" t="n">
        <f aca="false">IF($K48="Y",ROUND($E48/11,2),0)</f>
        <v>0</v>
      </c>
      <c r="M48" s="2" t="s">
        <v>130</v>
      </c>
      <c r="N48" s="2" t="s">
        <v>28</v>
      </c>
      <c r="O48" s="2" t="s">
        <v>126</v>
      </c>
    </row>
    <row r="49" customFormat="false" ht="15" hidden="false" customHeight="false" outlineLevel="0" collapsed="false">
      <c r="A49" s="2" t="s">
        <v>132</v>
      </c>
      <c r="B49" s="4" t="n">
        <v>45499</v>
      </c>
      <c r="C49" s="2" t="n">
        <v>8</v>
      </c>
      <c r="D49" s="2" t="s">
        <v>133</v>
      </c>
      <c r="E49" s="5" t="n">
        <v>25</v>
      </c>
      <c r="F49" s="5" t="n">
        <v>0</v>
      </c>
      <c r="G49" s="5" t="n">
        <v>0.58</v>
      </c>
      <c r="H49" s="2" t="s">
        <v>125</v>
      </c>
      <c r="I49" s="2" t="s">
        <v>27</v>
      </c>
      <c r="J49" s="6" t="n">
        <v>0.8</v>
      </c>
      <c r="K49" s="2" t="s">
        <v>28</v>
      </c>
      <c r="L49" s="5" t="n">
        <f aca="false">IF($K49="Y",ROUND($E49/11,2),0)</f>
        <v>2.27</v>
      </c>
      <c r="M49" s="2"/>
      <c r="N49" s="2" t="s">
        <v>29</v>
      </c>
      <c r="O49" s="2" t="s">
        <v>126</v>
      </c>
    </row>
    <row r="50" customFormat="false" ht="15" hidden="false" customHeight="false" outlineLevel="0" collapsed="false">
      <c r="A50" s="2" t="s">
        <v>134</v>
      </c>
      <c r="B50" s="4" t="n">
        <v>45502</v>
      </c>
      <c r="C50" s="2" t="n">
        <v>8</v>
      </c>
      <c r="D50" s="2" t="s">
        <v>135</v>
      </c>
      <c r="E50" s="5" t="n">
        <v>25</v>
      </c>
      <c r="F50" s="5" t="n">
        <v>0</v>
      </c>
      <c r="G50" s="5" t="n">
        <v>-24.42</v>
      </c>
      <c r="H50" s="2" t="s">
        <v>125</v>
      </c>
      <c r="I50" s="2" t="s">
        <v>27</v>
      </c>
      <c r="J50" s="6" t="n">
        <v>0.8</v>
      </c>
      <c r="K50" s="2" t="s">
        <v>28</v>
      </c>
      <c r="L50" s="5" t="n">
        <f aca="false">IF($K50="Y",ROUND($E50/11,2),0)</f>
        <v>2.27</v>
      </c>
      <c r="M50" s="2"/>
      <c r="N50" s="2" t="s">
        <v>29</v>
      </c>
      <c r="O50" s="2" t="s">
        <v>126</v>
      </c>
    </row>
    <row r="51" customFormat="false" ht="15" hidden="false" customHeight="false" outlineLevel="0" collapsed="false">
      <c r="A51" s="2" t="s">
        <v>136</v>
      </c>
      <c r="B51" s="4" t="n">
        <v>45503</v>
      </c>
      <c r="C51" s="2" t="n">
        <v>8</v>
      </c>
      <c r="D51" s="2" t="s">
        <v>137</v>
      </c>
      <c r="E51" s="5" t="n">
        <v>0</v>
      </c>
      <c r="F51" s="5" t="n">
        <v>5250</v>
      </c>
      <c r="G51" s="5" t="n">
        <v>5225.58</v>
      </c>
      <c r="H51" s="7" t="s">
        <v>51</v>
      </c>
      <c r="I51" s="7" t="s">
        <v>27</v>
      </c>
      <c r="J51" s="6" t="n">
        <v>0.55</v>
      </c>
      <c r="K51" s="2" t="s">
        <v>29</v>
      </c>
      <c r="L51" s="5" t="n">
        <f aca="false">IF($K51="Y",ROUND($E51/11,2),0)</f>
        <v>0</v>
      </c>
      <c r="M51" s="2" t="s">
        <v>138</v>
      </c>
      <c r="N51" s="2" t="s">
        <v>28</v>
      </c>
      <c r="O51" s="2" t="s">
        <v>126</v>
      </c>
    </row>
    <row r="52" customFormat="false" ht="15" hidden="false" customHeight="false" outlineLevel="0" collapsed="false">
      <c r="A52" s="2" t="s">
        <v>139</v>
      </c>
      <c r="B52" s="4" t="n">
        <v>45503</v>
      </c>
      <c r="C52" s="2" t="n">
        <v>8</v>
      </c>
      <c r="D52" s="2" t="s">
        <v>140</v>
      </c>
      <c r="E52" s="5" t="n">
        <v>600</v>
      </c>
      <c r="F52" s="5" t="n">
        <v>0</v>
      </c>
      <c r="G52" s="5" t="n">
        <v>4625.58</v>
      </c>
      <c r="H52" s="7" t="s">
        <v>36</v>
      </c>
      <c r="I52" s="7" t="s">
        <v>37</v>
      </c>
      <c r="J52" s="6" t="n">
        <v>0.7</v>
      </c>
      <c r="K52" s="2" t="s">
        <v>29</v>
      </c>
      <c r="L52" s="5" t="n">
        <f aca="false">IF($K52="Y",ROUND($E52/11,2),0)</f>
        <v>0</v>
      </c>
      <c r="M52" s="2" t="s">
        <v>38</v>
      </c>
      <c r="N52" s="2" t="s">
        <v>28</v>
      </c>
      <c r="O52" s="2" t="s">
        <v>126</v>
      </c>
    </row>
    <row r="53" customFormat="false" ht="15" hidden="false" customHeight="false" outlineLevel="0" collapsed="false">
      <c r="A53" s="2" t="s">
        <v>141</v>
      </c>
      <c r="B53" s="4" t="n">
        <v>45503</v>
      </c>
      <c r="C53" s="2" t="n">
        <v>8</v>
      </c>
      <c r="D53" s="2" t="s">
        <v>142</v>
      </c>
      <c r="E53" s="5" t="n">
        <v>1350</v>
      </c>
      <c r="F53" s="5" t="n">
        <v>0</v>
      </c>
      <c r="G53" s="5" t="n">
        <v>3275.58</v>
      </c>
      <c r="H53" s="7" t="s">
        <v>36</v>
      </c>
      <c r="I53" s="7" t="s">
        <v>37</v>
      </c>
      <c r="J53" s="6" t="n">
        <v>0.7</v>
      </c>
      <c r="K53" s="2" t="s">
        <v>29</v>
      </c>
      <c r="L53" s="5" t="n">
        <f aca="false">IF($K53="Y",ROUND($E53/11,2),0)</f>
        <v>0</v>
      </c>
      <c r="M53" s="2" t="s">
        <v>38</v>
      </c>
      <c r="N53" s="2" t="s">
        <v>28</v>
      </c>
      <c r="O53" s="2" t="s">
        <v>126</v>
      </c>
    </row>
    <row r="54" customFormat="false" ht="15" hidden="false" customHeight="false" outlineLevel="0" collapsed="false">
      <c r="A54" s="2" t="s">
        <v>143</v>
      </c>
      <c r="B54" s="4" t="n">
        <v>45504</v>
      </c>
      <c r="C54" s="2" t="n">
        <v>8</v>
      </c>
      <c r="D54" s="2" t="s">
        <v>144</v>
      </c>
      <c r="E54" s="5" t="n">
        <v>25</v>
      </c>
      <c r="F54" s="5" t="n">
        <v>0</v>
      </c>
      <c r="G54" s="5" t="n">
        <v>3250.58</v>
      </c>
      <c r="H54" s="2" t="s">
        <v>125</v>
      </c>
      <c r="I54" s="2" t="s">
        <v>27</v>
      </c>
      <c r="J54" s="6" t="n">
        <v>0.8</v>
      </c>
      <c r="K54" s="2" t="s">
        <v>28</v>
      </c>
      <c r="L54" s="5" t="n">
        <f aca="false">IF($K54="Y",ROUND($E54/11,2),0)</f>
        <v>2.27</v>
      </c>
      <c r="M54" s="2"/>
      <c r="N54" s="2" t="s">
        <v>29</v>
      </c>
      <c r="O54" s="2" t="s">
        <v>126</v>
      </c>
    </row>
    <row r="55" customFormat="false" ht="15" hidden="false" customHeight="false" outlineLevel="0" collapsed="false">
      <c r="A55" s="2" t="s">
        <v>145</v>
      </c>
      <c r="B55" s="4" t="n">
        <v>45504</v>
      </c>
      <c r="C55" s="2" t="n">
        <v>8</v>
      </c>
      <c r="D55" s="2" t="s">
        <v>146</v>
      </c>
      <c r="E55" s="5" t="n">
        <v>43</v>
      </c>
      <c r="F55" s="5" t="n">
        <v>0</v>
      </c>
      <c r="G55" s="5" t="n">
        <v>3207.58</v>
      </c>
      <c r="H55" s="2" t="s">
        <v>26</v>
      </c>
      <c r="I55" s="2" t="s">
        <v>27</v>
      </c>
      <c r="J55" s="6" t="n">
        <v>0.7</v>
      </c>
      <c r="K55" s="2" t="s">
        <v>28</v>
      </c>
      <c r="L55" s="5" t="n">
        <f aca="false">IF($K55="Y",ROUND($E55/11,2),0)</f>
        <v>3.91</v>
      </c>
      <c r="M55" s="2"/>
      <c r="N55" s="2" t="s">
        <v>29</v>
      </c>
      <c r="O55" s="2" t="s">
        <v>126</v>
      </c>
    </row>
    <row r="56" customFormat="false" ht="15" hidden="false" customHeight="false" outlineLevel="0" collapsed="false">
      <c r="A56" s="2" t="s">
        <v>147</v>
      </c>
      <c r="B56" s="4" t="n">
        <v>45504</v>
      </c>
      <c r="C56" s="2" t="n">
        <v>8</v>
      </c>
      <c r="D56" s="2" t="s">
        <v>148</v>
      </c>
      <c r="E56" s="5" t="n">
        <v>580</v>
      </c>
      <c r="F56" s="5" t="n">
        <v>0</v>
      </c>
      <c r="G56" s="5" t="n">
        <v>2627.58</v>
      </c>
      <c r="H56" s="7" t="s">
        <v>36</v>
      </c>
      <c r="I56" s="7" t="s">
        <v>37</v>
      </c>
      <c r="J56" s="6" t="n">
        <v>0.7</v>
      </c>
      <c r="K56" s="2" t="s">
        <v>29</v>
      </c>
      <c r="L56" s="5" t="n">
        <f aca="false">IF($K56="Y",ROUND($E56/11,2),0)</f>
        <v>0</v>
      </c>
      <c r="M56" s="2" t="s">
        <v>38</v>
      </c>
      <c r="N56" s="2" t="s">
        <v>28</v>
      </c>
      <c r="O56" s="2" t="s">
        <v>126</v>
      </c>
    </row>
    <row r="57" customFormat="false" ht="15" hidden="false" customHeight="false" outlineLevel="0" collapsed="false">
      <c r="A57" s="2" t="s">
        <v>149</v>
      </c>
      <c r="B57" s="4" t="n">
        <v>45504</v>
      </c>
      <c r="C57" s="2" t="n">
        <v>8</v>
      </c>
      <c r="D57" s="2" t="s">
        <v>150</v>
      </c>
      <c r="E57" s="5" t="n">
        <v>600</v>
      </c>
      <c r="F57" s="5" t="n">
        <v>0</v>
      </c>
      <c r="G57" s="5" t="n">
        <v>2027.58</v>
      </c>
      <c r="H57" s="7" t="s">
        <v>36</v>
      </c>
      <c r="I57" s="7" t="s">
        <v>37</v>
      </c>
      <c r="J57" s="6" t="n">
        <v>0.7</v>
      </c>
      <c r="K57" s="2" t="s">
        <v>29</v>
      </c>
      <c r="L57" s="5" t="n">
        <f aca="false">IF($K57="Y",ROUND($E57/11,2),0)</f>
        <v>0</v>
      </c>
      <c r="M57" s="2" t="s">
        <v>38</v>
      </c>
      <c r="N57" s="2" t="s">
        <v>28</v>
      </c>
      <c r="O57" s="2" t="s">
        <v>126</v>
      </c>
    </row>
    <row r="58" customFormat="false" ht="15" hidden="false" customHeight="false" outlineLevel="0" collapsed="false">
      <c r="A58" s="2" t="s">
        <v>151</v>
      </c>
      <c r="B58" s="4" t="n">
        <v>45504</v>
      </c>
      <c r="C58" s="2" t="n">
        <v>8</v>
      </c>
      <c r="D58" s="2" t="s">
        <v>152</v>
      </c>
      <c r="E58" s="5" t="n">
        <v>0.18</v>
      </c>
      <c r="F58" s="5" t="n">
        <v>0</v>
      </c>
      <c r="G58" s="5" t="n">
        <v>2027.4</v>
      </c>
      <c r="H58" s="2" t="s">
        <v>153</v>
      </c>
      <c r="I58" s="2" t="s">
        <v>27</v>
      </c>
      <c r="J58" s="6" t="n">
        <v>0.85</v>
      </c>
      <c r="K58" s="2" t="s">
        <v>29</v>
      </c>
      <c r="L58" s="5" t="n">
        <f aca="false">IF($K58="Y",ROUND($E58/11,2),0)</f>
        <v>0</v>
      </c>
      <c r="M58" s="2"/>
      <c r="N58" s="2" t="s">
        <v>29</v>
      </c>
      <c r="O58" s="2" t="s">
        <v>126</v>
      </c>
    </row>
    <row r="59" customFormat="false" ht="15" hidden="false" customHeight="false" outlineLevel="0" collapsed="false">
      <c r="A59" s="2" t="s">
        <v>154</v>
      </c>
      <c r="B59" s="4" t="n">
        <v>45505</v>
      </c>
      <c r="C59" s="2" t="n">
        <v>8</v>
      </c>
      <c r="D59" s="2" t="s">
        <v>155</v>
      </c>
      <c r="E59" s="5" t="n">
        <v>123.01</v>
      </c>
      <c r="F59" s="5" t="n">
        <v>0</v>
      </c>
      <c r="G59" s="5" t="n">
        <v>1904.39</v>
      </c>
      <c r="H59" s="2" t="s">
        <v>26</v>
      </c>
      <c r="I59" s="2" t="s">
        <v>27</v>
      </c>
      <c r="J59" s="6" t="n">
        <v>0.7</v>
      </c>
      <c r="K59" s="2" t="s">
        <v>28</v>
      </c>
      <c r="L59" s="5" t="n">
        <f aca="false">IF($K59="Y",ROUND($E59/11,2),0)</f>
        <v>11.18</v>
      </c>
      <c r="M59" s="2"/>
      <c r="N59" s="2" t="s">
        <v>29</v>
      </c>
      <c r="O59" s="2" t="s">
        <v>156</v>
      </c>
    </row>
    <row r="60" customFormat="false" ht="15" hidden="false" customHeight="false" outlineLevel="0" collapsed="false">
      <c r="A60" s="2" t="s">
        <v>157</v>
      </c>
      <c r="B60" s="4" t="n">
        <v>45505</v>
      </c>
      <c r="C60" s="2" t="n">
        <v>8</v>
      </c>
      <c r="D60" s="2" t="s">
        <v>158</v>
      </c>
      <c r="E60" s="5" t="n">
        <v>468.52</v>
      </c>
      <c r="F60" s="5" t="n">
        <v>0</v>
      </c>
      <c r="G60" s="5" t="n">
        <v>1435.87</v>
      </c>
      <c r="H60" s="2" t="s">
        <v>33</v>
      </c>
      <c r="I60" s="2" t="s">
        <v>27</v>
      </c>
      <c r="J60" s="6" t="n">
        <v>0.8</v>
      </c>
      <c r="K60" s="2" t="s">
        <v>28</v>
      </c>
      <c r="L60" s="5" t="n">
        <f aca="false">IF($K60="Y",ROUND($E60/11,2),0)</f>
        <v>42.59</v>
      </c>
      <c r="M60" s="2"/>
      <c r="N60" s="2" t="s">
        <v>29</v>
      </c>
      <c r="O60" s="2" t="s">
        <v>156</v>
      </c>
    </row>
    <row r="61" customFormat="false" ht="15" hidden="false" customHeight="false" outlineLevel="0" collapsed="false">
      <c r="A61" s="2" t="s">
        <v>159</v>
      </c>
      <c r="B61" s="4" t="n">
        <v>45509</v>
      </c>
      <c r="C61" s="2" t="n">
        <v>8</v>
      </c>
      <c r="D61" s="2" t="s">
        <v>160</v>
      </c>
      <c r="E61" s="5" t="n">
        <v>50</v>
      </c>
      <c r="F61" s="5" t="n">
        <v>0</v>
      </c>
      <c r="G61" s="5" t="n">
        <v>1385.87</v>
      </c>
      <c r="H61" s="7" t="s">
        <v>36</v>
      </c>
      <c r="I61" s="7" t="s">
        <v>37</v>
      </c>
      <c r="J61" s="6" t="n">
        <v>0.7</v>
      </c>
      <c r="K61" s="2" t="s">
        <v>29</v>
      </c>
      <c r="L61" s="5" t="n">
        <f aca="false">IF($K61="Y",ROUND($E61/11,2),0)</f>
        <v>0</v>
      </c>
      <c r="M61" s="2" t="s">
        <v>38</v>
      </c>
      <c r="N61" s="2" t="s">
        <v>28</v>
      </c>
      <c r="O61" s="2" t="s">
        <v>156</v>
      </c>
    </row>
    <row r="62" customFormat="false" ht="15" hidden="false" customHeight="false" outlineLevel="0" collapsed="false">
      <c r="A62" s="2" t="s">
        <v>161</v>
      </c>
      <c r="B62" s="4" t="n">
        <v>45509</v>
      </c>
      <c r="C62" s="2" t="n">
        <v>8</v>
      </c>
      <c r="D62" s="2" t="s">
        <v>162</v>
      </c>
      <c r="E62" s="5" t="n">
        <v>53.96</v>
      </c>
      <c r="F62" s="5" t="n">
        <v>0</v>
      </c>
      <c r="G62" s="5" t="n">
        <v>1331.91</v>
      </c>
      <c r="H62" s="2" t="s">
        <v>33</v>
      </c>
      <c r="I62" s="2" t="s">
        <v>27</v>
      </c>
      <c r="J62" s="6" t="n">
        <v>0.8</v>
      </c>
      <c r="K62" s="2" t="s">
        <v>28</v>
      </c>
      <c r="L62" s="5" t="n">
        <f aca="false">IF($K62="Y",ROUND($E62/11,2),0)</f>
        <v>4.91</v>
      </c>
      <c r="M62" s="2"/>
      <c r="N62" s="2" t="s">
        <v>29</v>
      </c>
      <c r="O62" s="2" t="s">
        <v>156</v>
      </c>
    </row>
    <row r="63" customFormat="false" ht="15" hidden="false" customHeight="false" outlineLevel="0" collapsed="false">
      <c r="A63" s="2" t="s">
        <v>163</v>
      </c>
      <c r="B63" s="4" t="n">
        <v>45510</v>
      </c>
      <c r="C63" s="2" t="n">
        <v>8</v>
      </c>
      <c r="D63" s="2" t="s">
        <v>164</v>
      </c>
      <c r="E63" s="5" t="n">
        <v>60</v>
      </c>
      <c r="F63" s="5" t="n">
        <v>0</v>
      </c>
      <c r="G63" s="5" t="n">
        <v>1271.91</v>
      </c>
      <c r="H63" s="7" t="s">
        <v>36</v>
      </c>
      <c r="I63" s="7" t="s">
        <v>37</v>
      </c>
      <c r="J63" s="6" t="n">
        <v>0.7</v>
      </c>
      <c r="K63" s="2" t="s">
        <v>29</v>
      </c>
      <c r="L63" s="5" t="n">
        <f aca="false">IF($K63="Y",ROUND($E63/11,2),0)</f>
        <v>0</v>
      </c>
      <c r="M63" s="2" t="s">
        <v>38</v>
      </c>
      <c r="N63" s="2" t="s">
        <v>28</v>
      </c>
      <c r="O63" s="2" t="s">
        <v>156</v>
      </c>
    </row>
    <row r="64" customFormat="false" ht="15" hidden="false" customHeight="false" outlineLevel="0" collapsed="false">
      <c r="A64" s="2" t="s">
        <v>165</v>
      </c>
      <c r="B64" s="4" t="n">
        <v>45511</v>
      </c>
      <c r="C64" s="2" t="n">
        <v>8</v>
      </c>
      <c r="D64" s="2" t="s">
        <v>166</v>
      </c>
      <c r="E64" s="5" t="n">
        <v>1000</v>
      </c>
      <c r="F64" s="5" t="n">
        <v>0</v>
      </c>
      <c r="G64" s="5" t="n">
        <v>271.91</v>
      </c>
      <c r="H64" s="7" t="s">
        <v>36</v>
      </c>
      <c r="I64" s="7" t="s">
        <v>37</v>
      </c>
      <c r="J64" s="6" t="n">
        <v>0.7</v>
      </c>
      <c r="K64" s="2" t="s">
        <v>29</v>
      </c>
      <c r="L64" s="5" t="n">
        <f aca="false">IF($K64="Y",ROUND($E64/11,2),0)</f>
        <v>0</v>
      </c>
      <c r="M64" s="2" t="s">
        <v>38</v>
      </c>
      <c r="N64" s="2" t="s">
        <v>28</v>
      </c>
      <c r="O64" s="2" t="s">
        <v>156</v>
      </c>
    </row>
    <row r="65" customFormat="false" ht="15" hidden="false" customHeight="false" outlineLevel="0" collapsed="false">
      <c r="A65" s="2" t="s">
        <v>167</v>
      </c>
      <c r="B65" s="4" t="n">
        <v>45513</v>
      </c>
      <c r="C65" s="2" t="n">
        <v>8</v>
      </c>
      <c r="D65" s="2" t="s">
        <v>168</v>
      </c>
      <c r="E65" s="5" t="n">
        <v>0</v>
      </c>
      <c r="F65" s="5" t="n">
        <v>9350</v>
      </c>
      <c r="G65" s="5" t="n">
        <v>9621.91</v>
      </c>
      <c r="H65" s="7" t="s">
        <v>51</v>
      </c>
      <c r="I65" s="7" t="s">
        <v>27</v>
      </c>
      <c r="J65" s="6" t="n">
        <v>0.55</v>
      </c>
      <c r="K65" s="2" t="s">
        <v>29</v>
      </c>
      <c r="L65" s="5" t="n">
        <f aca="false">IF($K65="Y",ROUND($E65/11,2),0)</f>
        <v>0</v>
      </c>
      <c r="M65" s="2"/>
      <c r="N65" s="2" t="s">
        <v>28</v>
      </c>
      <c r="O65" s="2" t="s">
        <v>156</v>
      </c>
    </row>
    <row r="66" customFormat="false" ht="15" hidden="false" customHeight="false" outlineLevel="0" collapsed="false">
      <c r="A66" s="2" t="s">
        <v>169</v>
      </c>
      <c r="B66" s="4" t="n">
        <v>45513</v>
      </c>
      <c r="C66" s="2" t="n">
        <v>8</v>
      </c>
      <c r="D66" s="2" t="s">
        <v>170</v>
      </c>
      <c r="E66" s="5" t="n">
        <v>69</v>
      </c>
      <c r="F66" s="5" t="n">
        <v>0</v>
      </c>
      <c r="G66" s="5" t="n">
        <v>9552.91</v>
      </c>
      <c r="H66" s="7" t="s">
        <v>36</v>
      </c>
      <c r="I66" s="7" t="s">
        <v>37</v>
      </c>
      <c r="J66" s="6" t="n">
        <v>0.7</v>
      </c>
      <c r="K66" s="2" t="s">
        <v>29</v>
      </c>
      <c r="L66" s="5" t="n">
        <f aca="false">IF($K66="Y",ROUND($E66/11,2),0)</f>
        <v>0</v>
      </c>
      <c r="M66" s="2" t="s">
        <v>38</v>
      </c>
      <c r="N66" s="2" t="s">
        <v>28</v>
      </c>
      <c r="O66" s="2" t="s">
        <v>156</v>
      </c>
    </row>
    <row r="67" customFormat="false" ht="15" hidden="false" customHeight="false" outlineLevel="0" collapsed="false">
      <c r="A67" s="2" t="s">
        <v>171</v>
      </c>
      <c r="B67" s="4" t="n">
        <v>45513</v>
      </c>
      <c r="C67" s="2" t="n">
        <v>8</v>
      </c>
      <c r="D67" s="2" t="s">
        <v>172</v>
      </c>
      <c r="E67" s="5" t="n">
        <v>102.82</v>
      </c>
      <c r="F67" s="5" t="n">
        <v>0</v>
      </c>
      <c r="G67" s="5" t="n">
        <v>9450.09</v>
      </c>
      <c r="H67" s="2" t="s">
        <v>26</v>
      </c>
      <c r="I67" s="2" t="s">
        <v>27</v>
      </c>
      <c r="J67" s="6" t="n">
        <v>0.7</v>
      </c>
      <c r="K67" s="2" t="s">
        <v>28</v>
      </c>
      <c r="L67" s="5" t="n">
        <f aca="false">IF($K67="Y",ROUND($E67/11,2),0)</f>
        <v>9.35</v>
      </c>
      <c r="M67" s="2"/>
      <c r="N67" s="2" t="s">
        <v>29</v>
      </c>
      <c r="O67" s="2" t="s">
        <v>156</v>
      </c>
    </row>
    <row r="68" customFormat="false" ht="15" hidden="false" customHeight="false" outlineLevel="0" collapsed="false">
      <c r="A68" s="2" t="s">
        <v>173</v>
      </c>
      <c r="B68" s="4" t="n">
        <v>45513</v>
      </c>
      <c r="C68" s="2" t="n">
        <v>8</v>
      </c>
      <c r="D68" s="2" t="s">
        <v>174</v>
      </c>
      <c r="E68" s="5" t="n">
        <v>600</v>
      </c>
      <c r="F68" s="5" t="n">
        <v>0</v>
      </c>
      <c r="G68" s="5" t="n">
        <v>8850.09</v>
      </c>
      <c r="H68" s="7" t="s">
        <v>36</v>
      </c>
      <c r="I68" s="7" t="s">
        <v>37</v>
      </c>
      <c r="J68" s="6" t="n">
        <v>0.7</v>
      </c>
      <c r="K68" s="2" t="s">
        <v>29</v>
      </c>
      <c r="L68" s="5" t="n">
        <f aca="false">IF($K68="Y",ROUND($E68/11,2),0)</f>
        <v>0</v>
      </c>
      <c r="M68" s="2" t="s">
        <v>38</v>
      </c>
      <c r="N68" s="2" t="s">
        <v>28</v>
      </c>
      <c r="O68" s="2" t="s">
        <v>156</v>
      </c>
    </row>
    <row r="69" customFormat="false" ht="15" hidden="false" customHeight="false" outlineLevel="0" collapsed="false">
      <c r="A69" s="2" t="s">
        <v>175</v>
      </c>
      <c r="B69" s="4" t="n">
        <v>45516</v>
      </c>
      <c r="C69" s="2" t="n">
        <v>8</v>
      </c>
      <c r="D69" s="2" t="s">
        <v>176</v>
      </c>
      <c r="E69" s="5" t="n">
        <v>106.56</v>
      </c>
      <c r="F69" s="5" t="n">
        <v>0</v>
      </c>
      <c r="G69" s="5" t="n">
        <v>8743.53</v>
      </c>
      <c r="H69" s="2" t="s">
        <v>26</v>
      </c>
      <c r="I69" s="2" t="s">
        <v>27</v>
      </c>
      <c r="J69" s="6" t="n">
        <v>0.7</v>
      </c>
      <c r="K69" s="2" t="s">
        <v>28</v>
      </c>
      <c r="L69" s="5" t="n">
        <f aca="false">IF($K69="Y",ROUND($E69/11,2),0)</f>
        <v>9.69</v>
      </c>
      <c r="M69" s="2"/>
      <c r="N69" s="2" t="s">
        <v>29</v>
      </c>
      <c r="O69" s="2" t="s">
        <v>156</v>
      </c>
    </row>
    <row r="70" customFormat="false" ht="15" hidden="false" customHeight="false" outlineLevel="0" collapsed="false">
      <c r="A70" s="2" t="s">
        <v>177</v>
      </c>
      <c r="B70" s="4" t="n">
        <v>45516</v>
      </c>
      <c r="C70" s="2" t="n">
        <v>8</v>
      </c>
      <c r="D70" s="2" t="s">
        <v>178</v>
      </c>
      <c r="E70" s="5" t="n">
        <v>400</v>
      </c>
      <c r="F70" s="5" t="n">
        <v>0</v>
      </c>
      <c r="G70" s="5" t="n">
        <v>8343.53</v>
      </c>
      <c r="H70" s="7" t="s">
        <v>36</v>
      </c>
      <c r="I70" s="7" t="s">
        <v>37</v>
      </c>
      <c r="J70" s="6" t="n">
        <v>0.7</v>
      </c>
      <c r="K70" s="2" t="s">
        <v>29</v>
      </c>
      <c r="L70" s="5" t="n">
        <f aca="false">IF($K70="Y",ROUND($E70/11,2),0)</f>
        <v>0</v>
      </c>
      <c r="M70" s="2" t="s">
        <v>38</v>
      </c>
      <c r="N70" s="2" t="s">
        <v>28</v>
      </c>
      <c r="O70" s="2" t="s">
        <v>156</v>
      </c>
    </row>
    <row r="71" customFormat="false" ht="15" hidden="false" customHeight="false" outlineLevel="0" collapsed="false">
      <c r="A71" s="2" t="s">
        <v>179</v>
      </c>
      <c r="B71" s="4" t="n">
        <v>45516</v>
      </c>
      <c r="C71" s="2" t="n">
        <v>8</v>
      </c>
      <c r="D71" s="2" t="s">
        <v>180</v>
      </c>
      <c r="E71" s="5" t="n">
        <v>700</v>
      </c>
      <c r="F71" s="5" t="n">
        <v>0</v>
      </c>
      <c r="G71" s="5" t="n">
        <v>7643.53</v>
      </c>
      <c r="H71" s="7" t="s">
        <v>36</v>
      </c>
      <c r="I71" s="7" t="s">
        <v>37</v>
      </c>
      <c r="J71" s="6" t="n">
        <v>0.7</v>
      </c>
      <c r="K71" s="2" t="s">
        <v>29</v>
      </c>
      <c r="L71" s="5" t="n">
        <f aca="false">IF($K71="Y",ROUND($E71/11,2),0)</f>
        <v>0</v>
      </c>
      <c r="M71" s="2" t="s">
        <v>38</v>
      </c>
      <c r="N71" s="2" t="s">
        <v>28</v>
      </c>
      <c r="O71" s="2" t="s">
        <v>156</v>
      </c>
    </row>
    <row r="72" customFormat="false" ht="15" hidden="false" customHeight="false" outlineLevel="0" collapsed="false">
      <c r="A72" s="2" t="s">
        <v>181</v>
      </c>
      <c r="B72" s="4" t="n">
        <v>45516</v>
      </c>
      <c r="C72" s="2" t="n">
        <v>8</v>
      </c>
      <c r="D72" s="2" t="s">
        <v>182</v>
      </c>
      <c r="E72" s="5" t="n">
        <v>1280</v>
      </c>
      <c r="F72" s="5" t="n">
        <v>0</v>
      </c>
      <c r="G72" s="5" t="n">
        <v>6363.53</v>
      </c>
      <c r="H72" s="7" t="s">
        <v>36</v>
      </c>
      <c r="I72" s="7" t="s">
        <v>37</v>
      </c>
      <c r="J72" s="6" t="n">
        <v>0.7</v>
      </c>
      <c r="K72" s="2" t="s">
        <v>29</v>
      </c>
      <c r="L72" s="5" t="n">
        <f aca="false">IF($K72="Y",ROUND($E72/11,2),0)</f>
        <v>0</v>
      </c>
      <c r="M72" s="2" t="s">
        <v>38</v>
      </c>
      <c r="N72" s="2" t="s">
        <v>28</v>
      </c>
      <c r="O72" s="2" t="s">
        <v>156</v>
      </c>
    </row>
    <row r="73" customFormat="false" ht="15" hidden="false" customHeight="false" outlineLevel="0" collapsed="false">
      <c r="A73" s="2" t="s">
        <v>183</v>
      </c>
      <c r="B73" s="4" t="n">
        <v>45517</v>
      </c>
      <c r="C73" s="2" t="n">
        <v>8</v>
      </c>
      <c r="D73" s="2" t="s">
        <v>184</v>
      </c>
      <c r="E73" s="5" t="n">
        <v>78.84</v>
      </c>
      <c r="F73" s="5" t="n">
        <v>0</v>
      </c>
      <c r="G73" s="5" t="n">
        <v>6284.69</v>
      </c>
      <c r="H73" s="2" t="s">
        <v>26</v>
      </c>
      <c r="I73" s="2" t="s">
        <v>27</v>
      </c>
      <c r="J73" s="6" t="n">
        <v>0.7</v>
      </c>
      <c r="K73" s="2" t="s">
        <v>28</v>
      </c>
      <c r="L73" s="5" t="n">
        <f aca="false">IF($K73="Y",ROUND($E73/11,2),0)</f>
        <v>7.17</v>
      </c>
      <c r="M73" s="2"/>
      <c r="N73" s="2" t="s">
        <v>29</v>
      </c>
      <c r="O73" s="2" t="s">
        <v>156</v>
      </c>
    </row>
    <row r="74" customFormat="false" ht="15" hidden="false" customHeight="false" outlineLevel="0" collapsed="false">
      <c r="A74" s="2" t="s">
        <v>185</v>
      </c>
      <c r="B74" s="4" t="n">
        <v>45517</v>
      </c>
      <c r="C74" s="2" t="n">
        <v>8</v>
      </c>
      <c r="D74" s="2" t="s">
        <v>186</v>
      </c>
      <c r="E74" s="5" t="n">
        <v>290</v>
      </c>
      <c r="F74" s="5" t="n">
        <v>0</v>
      </c>
      <c r="G74" s="5" t="n">
        <v>5994.69</v>
      </c>
      <c r="H74" s="7" t="s">
        <v>36</v>
      </c>
      <c r="I74" s="7" t="s">
        <v>37</v>
      </c>
      <c r="J74" s="6" t="n">
        <v>0.7</v>
      </c>
      <c r="K74" s="2" t="s">
        <v>29</v>
      </c>
      <c r="L74" s="5" t="n">
        <f aca="false">IF($K74="Y",ROUND($E74/11,2),0)</f>
        <v>0</v>
      </c>
      <c r="M74" s="2" t="s">
        <v>38</v>
      </c>
      <c r="N74" s="2" t="s">
        <v>28</v>
      </c>
      <c r="O74" s="2" t="s">
        <v>156</v>
      </c>
    </row>
    <row r="75" customFormat="false" ht="15" hidden="false" customHeight="false" outlineLevel="0" collapsed="false">
      <c r="A75" s="2" t="s">
        <v>187</v>
      </c>
      <c r="B75" s="4" t="n">
        <v>45519</v>
      </c>
      <c r="C75" s="2" t="n">
        <v>8</v>
      </c>
      <c r="D75" s="2" t="s">
        <v>188</v>
      </c>
      <c r="E75" s="5" t="n">
        <v>80</v>
      </c>
      <c r="F75" s="5" t="n">
        <v>0</v>
      </c>
      <c r="G75" s="5" t="n">
        <v>5914.69</v>
      </c>
      <c r="H75" s="7" t="s">
        <v>36</v>
      </c>
      <c r="I75" s="7" t="s">
        <v>37</v>
      </c>
      <c r="J75" s="6" t="n">
        <v>0.7</v>
      </c>
      <c r="K75" s="2" t="s">
        <v>29</v>
      </c>
      <c r="L75" s="5" t="n">
        <f aca="false">IF($K75="Y",ROUND($E75/11,2),0)</f>
        <v>0</v>
      </c>
      <c r="M75" s="2" t="s">
        <v>38</v>
      </c>
      <c r="N75" s="2" t="s">
        <v>28</v>
      </c>
      <c r="O75" s="2" t="s">
        <v>156</v>
      </c>
    </row>
    <row r="76" customFormat="false" ht="15" hidden="false" customHeight="false" outlineLevel="0" collapsed="false">
      <c r="A76" s="2" t="s">
        <v>189</v>
      </c>
      <c r="B76" s="4" t="n">
        <v>45519</v>
      </c>
      <c r="C76" s="2" t="n">
        <v>8</v>
      </c>
      <c r="D76" s="2" t="s">
        <v>155</v>
      </c>
      <c r="E76" s="5" t="n">
        <v>114.66</v>
      </c>
      <c r="F76" s="5" t="n">
        <v>0</v>
      </c>
      <c r="G76" s="5" t="n">
        <v>5800.03</v>
      </c>
      <c r="H76" s="2" t="s">
        <v>26</v>
      </c>
      <c r="I76" s="2" t="s">
        <v>27</v>
      </c>
      <c r="J76" s="6" t="n">
        <v>0.7</v>
      </c>
      <c r="K76" s="2" t="s">
        <v>28</v>
      </c>
      <c r="L76" s="5" t="n">
        <f aca="false">IF($K76="Y",ROUND($E76/11,2),0)</f>
        <v>10.42</v>
      </c>
      <c r="M76" s="2"/>
      <c r="N76" s="2" t="s">
        <v>29</v>
      </c>
      <c r="O76" s="2" t="s">
        <v>156</v>
      </c>
    </row>
    <row r="77" customFormat="false" ht="15" hidden="false" customHeight="false" outlineLevel="0" collapsed="false">
      <c r="A77" s="2" t="s">
        <v>190</v>
      </c>
      <c r="B77" s="4" t="n">
        <v>45519</v>
      </c>
      <c r="C77" s="2" t="n">
        <v>8</v>
      </c>
      <c r="D77" s="2" t="s">
        <v>191</v>
      </c>
      <c r="E77" s="5" t="n">
        <v>220</v>
      </c>
      <c r="F77" s="5" t="n">
        <v>0</v>
      </c>
      <c r="G77" s="5" t="n">
        <v>5580.03</v>
      </c>
      <c r="H77" s="7" t="s">
        <v>36</v>
      </c>
      <c r="I77" s="7" t="s">
        <v>37</v>
      </c>
      <c r="J77" s="6" t="n">
        <v>0.7</v>
      </c>
      <c r="K77" s="2" t="s">
        <v>29</v>
      </c>
      <c r="L77" s="5" t="n">
        <f aca="false">IF($K77="Y",ROUND($E77/11,2),0)</f>
        <v>0</v>
      </c>
      <c r="M77" s="2" t="s">
        <v>38</v>
      </c>
      <c r="N77" s="2" t="s">
        <v>28</v>
      </c>
      <c r="O77" s="2" t="s">
        <v>156</v>
      </c>
    </row>
    <row r="78" customFormat="false" ht="15" hidden="false" customHeight="false" outlineLevel="0" collapsed="false">
      <c r="A78" s="2" t="s">
        <v>192</v>
      </c>
      <c r="B78" s="4" t="n">
        <v>45519</v>
      </c>
      <c r="C78" s="2" t="n">
        <v>8</v>
      </c>
      <c r="D78" s="2" t="s">
        <v>193</v>
      </c>
      <c r="E78" s="5" t="n">
        <v>380</v>
      </c>
      <c r="F78" s="5" t="n">
        <v>0</v>
      </c>
      <c r="G78" s="5" t="n">
        <v>5200.03</v>
      </c>
      <c r="H78" s="7" t="s">
        <v>36</v>
      </c>
      <c r="I78" s="7" t="s">
        <v>37</v>
      </c>
      <c r="J78" s="6" t="n">
        <v>0.7</v>
      </c>
      <c r="K78" s="2" t="s">
        <v>29</v>
      </c>
      <c r="L78" s="5" t="n">
        <f aca="false">IF($K78="Y",ROUND($E78/11,2),0)</f>
        <v>0</v>
      </c>
      <c r="M78" s="2" t="s">
        <v>38</v>
      </c>
      <c r="N78" s="2" t="s">
        <v>28</v>
      </c>
      <c r="O78" s="2" t="s">
        <v>156</v>
      </c>
    </row>
    <row r="79" customFormat="false" ht="15" hidden="false" customHeight="false" outlineLevel="0" collapsed="false">
      <c r="A79" s="2" t="s">
        <v>194</v>
      </c>
      <c r="B79" s="4" t="n">
        <v>45520</v>
      </c>
      <c r="C79" s="2" t="n">
        <v>8</v>
      </c>
      <c r="D79" s="2" t="s">
        <v>195</v>
      </c>
      <c r="E79" s="5" t="n">
        <v>10</v>
      </c>
      <c r="F79" s="5" t="n">
        <v>0</v>
      </c>
      <c r="G79" s="5" t="n">
        <v>5190.03</v>
      </c>
      <c r="H79" s="7" t="s">
        <v>36</v>
      </c>
      <c r="I79" s="7" t="s">
        <v>37</v>
      </c>
      <c r="J79" s="6" t="n">
        <v>0.7</v>
      </c>
      <c r="K79" s="2" t="s">
        <v>29</v>
      </c>
      <c r="L79" s="5" t="n">
        <f aca="false">IF($K79="Y",ROUND($E79/11,2),0)</f>
        <v>0</v>
      </c>
      <c r="M79" s="2" t="s">
        <v>38</v>
      </c>
      <c r="N79" s="2" t="s">
        <v>28</v>
      </c>
      <c r="O79" s="2" t="s">
        <v>156</v>
      </c>
    </row>
    <row r="80" customFormat="false" ht="15" hidden="false" customHeight="false" outlineLevel="0" collapsed="false">
      <c r="A80" s="2" t="s">
        <v>196</v>
      </c>
      <c r="B80" s="4" t="n">
        <v>45520</v>
      </c>
      <c r="C80" s="2" t="n">
        <v>8</v>
      </c>
      <c r="D80" s="2" t="s">
        <v>197</v>
      </c>
      <c r="E80" s="5" t="n">
        <v>20</v>
      </c>
      <c r="F80" s="5" t="n">
        <v>0</v>
      </c>
      <c r="G80" s="5" t="n">
        <v>5170.03</v>
      </c>
      <c r="H80" s="7" t="s">
        <v>36</v>
      </c>
      <c r="I80" s="7" t="s">
        <v>37</v>
      </c>
      <c r="J80" s="6" t="n">
        <v>0.7</v>
      </c>
      <c r="K80" s="2" t="s">
        <v>29</v>
      </c>
      <c r="L80" s="5" t="n">
        <f aca="false">IF($K80="Y",ROUND($E80/11,2),0)</f>
        <v>0</v>
      </c>
      <c r="M80" s="2" t="s">
        <v>38</v>
      </c>
      <c r="N80" s="2" t="s">
        <v>28</v>
      </c>
      <c r="O80" s="2" t="s">
        <v>156</v>
      </c>
    </row>
    <row r="81" customFormat="false" ht="15" hidden="false" customHeight="false" outlineLevel="0" collapsed="false">
      <c r="A81" s="2" t="s">
        <v>198</v>
      </c>
      <c r="B81" s="4" t="n">
        <v>45520</v>
      </c>
      <c r="C81" s="2" t="n">
        <v>8</v>
      </c>
      <c r="D81" s="2" t="s">
        <v>199</v>
      </c>
      <c r="E81" s="5" t="n">
        <v>35</v>
      </c>
      <c r="F81" s="5" t="n">
        <v>0</v>
      </c>
      <c r="G81" s="5" t="n">
        <v>5135.03</v>
      </c>
      <c r="H81" s="7" t="s">
        <v>65</v>
      </c>
      <c r="I81" s="7" t="s">
        <v>27</v>
      </c>
      <c r="J81" s="6" t="n">
        <v>0.6</v>
      </c>
      <c r="K81" s="2" t="s">
        <v>28</v>
      </c>
      <c r="L81" s="5" t="n">
        <f aca="false">IF($K81="Y",ROUND($E81/11,2),0)</f>
        <v>3.18</v>
      </c>
      <c r="M81" s="2"/>
      <c r="N81" s="2" t="s">
        <v>28</v>
      </c>
      <c r="O81" s="2" t="s">
        <v>156</v>
      </c>
    </row>
    <row r="82" customFormat="false" ht="15" hidden="false" customHeight="false" outlineLevel="0" collapsed="false">
      <c r="A82" s="2" t="s">
        <v>200</v>
      </c>
      <c r="B82" s="4" t="n">
        <v>45523</v>
      </c>
      <c r="C82" s="2" t="n">
        <v>8</v>
      </c>
      <c r="D82" s="2" t="s">
        <v>201</v>
      </c>
      <c r="E82" s="5" t="n">
        <v>20</v>
      </c>
      <c r="F82" s="5" t="n">
        <v>0</v>
      </c>
      <c r="G82" s="5" t="n">
        <v>5115.03</v>
      </c>
      <c r="H82" s="7" t="s">
        <v>36</v>
      </c>
      <c r="I82" s="7" t="s">
        <v>37</v>
      </c>
      <c r="J82" s="6" t="n">
        <v>0.7</v>
      </c>
      <c r="K82" s="2" t="s">
        <v>29</v>
      </c>
      <c r="L82" s="5" t="n">
        <f aca="false">IF($K82="Y",ROUND($E82/11,2),0)</f>
        <v>0</v>
      </c>
      <c r="M82" s="2" t="s">
        <v>38</v>
      </c>
      <c r="N82" s="2" t="s">
        <v>28</v>
      </c>
      <c r="O82" s="2" t="s">
        <v>156</v>
      </c>
    </row>
    <row r="83" customFormat="false" ht="15" hidden="false" customHeight="false" outlineLevel="0" collapsed="false">
      <c r="A83" s="2" t="s">
        <v>202</v>
      </c>
      <c r="B83" s="4" t="n">
        <v>45523</v>
      </c>
      <c r="C83" s="2" t="n">
        <v>8</v>
      </c>
      <c r="D83" s="2" t="s">
        <v>203</v>
      </c>
      <c r="E83" s="5" t="n">
        <v>100</v>
      </c>
      <c r="F83" s="5" t="n">
        <v>0</v>
      </c>
      <c r="G83" s="5" t="n">
        <v>5015.03</v>
      </c>
      <c r="H83" s="7" t="s">
        <v>36</v>
      </c>
      <c r="I83" s="7" t="s">
        <v>37</v>
      </c>
      <c r="J83" s="6" t="n">
        <v>0.7</v>
      </c>
      <c r="K83" s="2" t="s">
        <v>29</v>
      </c>
      <c r="L83" s="5" t="n">
        <f aca="false">IF($K83="Y",ROUND($E83/11,2),0)</f>
        <v>0</v>
      </c>
      <c r="M83" s="2" t="s">
        <v>38</v>
      </c>
      <c r="N83" s="2" t="s">
        <v>28</v>
      </c>
      <c r="O83" s="2" t="s">
        <v>156</v>
      </c>
    </row>
    <row r="84" customFormat="false" ht="15" hidden="false" customHeight="false" outlineLevel="0" collapsed="false">
      <c r="A84" s="2" t="s">
        <v>204</v>
      </c>
      <c r="B84" s="4" t="n">
        <v>45523</v>
      </c>
      <c r="C84" s="2" t="n">
        <v>8</v>
      </c>
      <c r="D84" s="2" t="s">
        <v>205</v>
      </c>
      <c r="E84" s="5" t="n">
        <v>150</v>
      </c>
      <c r="F84" s="5" t="n">
        <v>0</v>
      </c>
      <c r="G84" s="5" t="n">
        <v>4865.03</v>
      </c>
      <c r="H84" s="7" t="s">
        <v>36</v>
      </c>
      <c r="I84" s="7" t="s">
        <v>37</v>
      </c>
      <c r="J84" s="6" t="n">
        <v>0.7</v>
      </c>
      <c r="K84" s="2" t="s">
        <v>29</v>
      </c>
      <c r="L84" s="5" t="n">
        <f aca="false">IF($K84="Y",ROUND($E84/11,2),0)</f>
        <v>0</v>
      </c>
      <c r="M84" s="2" t="s">
        <v>38</v>
      </c>
      <c r="N84" s="2" t="s">
        <v>28</v>
      </c>
      <c r="O84" s="2" t="s">
        <v>156</v>
      </c>
    </row>
    <row r="85" customFormat="false" ht="15" hidden="false" customHeight="false" outlineLevel="0" collapsed="false">
      <c r="A85" s="2" t="s">
        <v>206</v>
      </c>
      <c r="B85" s="4" t="n">
        <v>45523</v>
      </c>
      <c r="C85" s="2" t="n">
        <v>8</v>
      </c>
      <c r="D85" s="2" t="s">
        <v>207</v>
      </c>
      <c r="E85" s="5" t="n">
        <v>250</v>
      </c>
      <c r="F85" s="5" t="n">
        <v>0</v>
      </c>
      <c r="G85" s="5" t="n">
        <v>4615.03</v>
      </c>
      <c r="H85" s="7" t="s">
        <v>36</v>
      </c>
      <c r="I85" s="7" t="s">
        <v>37</v>
      </c>
      <c r="J85" s="6" t="n">
        <v>0.7</v>
      </c>
      <c r="K85" s="2" t="s">
        <v>29</v>
      </c>
      <c r="L85" s="5" t="n">
        <f aca="false">IF($K85="Y",ROUND($E85/11,2),0)</f>
        <v>0</v>
      </c>
      <c r="M85" s="2" t="s">
        <v>38</v>
      </c>
      <c r="N85" s="2" t="s">
        <v>28</v>
      </c>
      <c r="O85" s="2" t="s">
        <v>156</v>
      </c>
    </row>
    <row r="86" customFormat="false" ht="15" hidden="false" customHeight="false" outlineLevel="0" collapsed="false">
      <c r="A86" s="2" t="s">
        <v>208</v>
      </c>
      <c r="B86" s="4" t="n">
        <v>45523</v>
      </c>
      <c r="C86" s="2" t="n">
        <v>8</v>
      </c>
      <c r="D86" s="2" t="s">
        <v>209</v>
      </c>
      <c r="E86" s="5" t="n">
        <v>325</v>
      </c>
      <c r="F86" s="5" t="n">
        <v>0</v>
      </c>
      <c r="G86" s="5" t="n">
        <v>4290.03</v>
      </c>
      <c r="H86" s="2" t="s">
        <v>33</v>
      </c>
      <c r="I86" s="2" t="s">
        <v>27</v>
      </c>
      <c r="J86" s="6" t="n">
        <v>0.8</v>
      </c>
      <c r="K86" s="2" t="s">
        <v>28</v>
      </c>
      <c r="L86" s="5" t="n">
        <f aca="false">IF($K86="Y",ROUND($E86/11,2),0)</f>
        <v>29.55</v>
      </c>
      <c r="M86" s="2"/>
      <c r="N86" s="2" t="s">
        <v>29</v>
      </c>
      <c r="O86" s="2" t="s">
        <v>156</v>
      </c>
    </row>
    <row r="87" customFormat="false" ht="15" hidden="false" customHeight="false" outlineLevel="0" collapsed="false">
      <c r="A87" s="2" t="s">
        <v>210</v>
      </c>
      <c r="B87" s="4" t="n">
        <v>45524</v>
      </c>
      <c r="C87" s="2" t="n">
        <v>8</v>
      </c>
      <c r="D87" s="2" t="s">
        <v>211</v>
      </c>
      <c r="E87" s="5" t="n">
        <v>0</v>
      </c>
      <c r="F87" s="5" t="n">
        <v>2420</v>
      </c>
      <c r="G87" s="5" t="n">
        <v>6710.03</v>
      </c>
      <c r="H87" s="7" t="s">
        <v>51</v>
      </c>
      <c r="I87" s="7" t="s">
        <v>27</v>
      </c>
      <c r="J87" s="6" t="n">
        <v>0.55</v>
      </c>
      <c r="K87" s="2" t="s">
        <v>29</v>
      </c>
      <c r="L87" s="5" t="n">
        <f aca="false">IF($K87="Y",ROUND($E87/11,2),0)</f>
        <v>0</v>
      </c>
      <c r="M87" s="2"/>
      <c r="N87" s="2" t="s">
        <v>28</v>
      </c>
      <c r="O87" s="2" t="s">
        <v>156</v>
      </c>
    </row>
    <row r="88" customFormat="false" ht="15" hidden="false" customHeight="false" outlineLevel="0" collapsed="false">
      <c r="A88" s="2" t="s">
        <v>212</v>
      </c>
      <c r="B88" s="4" t="n">
        <v>45524</v>
      </c>
      <c r="C88" s="2" t="n">
        <v>8</v>
      </c>
      <c r="D88" s="2" t="s">
        <v>213</v>
      </c>
      <c r="E88" s="5" t="n">
        <v>1470</v>
      </c>
      <c r="F88" s="5" t="n">
        <v>0</v>
      </c>
      <c r="G88" s="5" t="n">
        <v>5240.03</v>
      </c>
      <c r="H88" s="7" t="s">
        <v>36</v>
      </c>
      <c r="I88" s="7" t="s">
        <v>37</v>
      </c>
      <c r="J88" s="6" t="n">
        <v>0.7</v>
      </c>
      <c r="K88" s="2" t="s">
        <v>29</v>
      </c>
      <c r="L88" s="5" t="n">
        <f aca="false">IF($K88="Y",ROUND($E88/11,2),0)</f>
        <v>0</v>
      </c>
      <c r="M88" s="2" t="s">
        <v>38</v>
      </c>
      <c r="N88" s="2" t="s">
        <v>28</v>
      </c>
      <c r="O88" s="2" t="s">
        <v>156</v>
      </c>
    </row>
    <row r="89" customFormat="false" ht="15" hidden="false" customHeight="false" outlineLevel="0" collapsed="false">
      <c r="A89" s="2" t="s">
        <v>214</v>
      </c>
      <c r="B89" s="4" t="n">
        <v>45951</v>
      </c>
      <c r="C89" s="2" t="n">
        <v>23</v>
      </c>
      <c r="D89" s="2" t="s">
        <v>215</v>
      </c>
      <c r="E89" s="5" t="n">
        <v>14</v>
      </c>
      <c r="F89" s="5" t="n">
        <v>0</v>
      </c>
      <c r="G89" s="5" t="n">
        <v>1923.84</v>
      </c>
      <c r="H89" s="2" t="s">
        <v>33</v>
      </c>
      <c r="I89" s="2" t="s">
        <v>27</v>
      </c>
      <c r="J89" s="6" t="n">
        <v>0.8</v>
      </c>
      <c r="K89" s="2" t="s">
        <v>28</v>
      </c>
      <c r="L89" s="5" t="n">
        <f aca="false">IF($K89="Y",ROUND($E89/11,2),0)</f>
        <v>1.27</v>
      </c>
      <c r="M89" s="2"/>
      <c r="N89" s="2" t="s">
        <v>29</v>
      </c>
      <c r="O89" s="2" t="s">
        <v>216</v>
      </c>
    </row>
    <row r="90" customFormat="false" ht="15" hidden="false" customHeight="false" outlineLevel="0" collapsed="false">
      <c r="A90" s="2" t="s">
        <v>217</v>
      </c>
      <c r="B90" s="4" t="n">
        <v>45951</v>
      </c>
      <c r="C90" s="2" t="n">
        <v>23</v>
      </c>
      <c r="D90" s="2" t="s">
        <v>215</v>
      </c>
      <c r="E90" s="5" t="n">
        <v>25</v>
      </c>
      <c r="F90" s="5" t="n">
        <v>0</v>
      </c>
      <c r="G90" s="5" t="n">
        <v>1898.84</v>
      </c>
      <c r="H90" s="2" t="s">
        <v>33</v>
      </c>
      <c r="I90" s="2" t="s">
        <v>27</v>
      </c>
      <c r="J90" s="6" t="n">
        <v>0.8</v>
      </c>
      <c r="K90" s="2" t="s">
        <v>28</v>
      </c>
      <c r="L90" s="5" t="n">
        <f aca="false">IF($K90="Y",ROUND($E90/11,2),0)</f>
        <v>2.27</v>
      </c>
      <c r="M90" s="2"/>
      <c r="N90" s="2" t="s">
        <v>29</v>
      </c>
      <c r="O90" s="2" t="s">
        <v>216</v>
      </c>
    </row>
    <row r="91" customFormat="false" ht="15" hidden="false" customHeight="false" outlineLevel="0" collapsed="false">
      <c r="A91" s="2" t="s">
        <v>218</v>
      </c>
      <c r="B91" s="4" t="n">
        <v>45952</v>
      </c>
      <c r="C91" s="2" t="n">
        <v>23</v>
      </c>
      <c r="D91" s="2" t="s">
        <v>219</v>
      </c>
      <c r="E91" s="5" t="n">
        <v>263.26</v>
      </c>
      <c r="F91" s="5" t="n">
        <v>0</v>
      </c>
      <c r="G91" s="5" t="n">
        <v>1635.58</v>
      </c>
      <c r="H91" s="2" t="s">
        <v>33</v>
      </c>
      <c r="I91" s="2" t="s">
        <v>27</v>
      </c>
      <c r="J91" s="6" t="n">
        <v>0.8</v>
      </c>
      <c r="K91" s="2" t="s">
        <v>28</v>
      </c>
      <c r="L91" s="5" t="n">
        <f aca="false">IF($K91="Y",ROUND($E91/11,2),0)</f>
        <v>23.93</v>
      </c>
      <c r="M91" s="2"/>
      <c r="N91" s="2" t="s">
        <v>29</v>
      </c>
      <c r="O91" s="2" t="s">
        <v>216</v>
      </c>
    </row>
    <row r="92" customFormat="false" ht="15" hidden="false" customHeight="false" outlineLevel="0" collapsed="false">
      <c r="A92" s="2" t="s">
        <v>220</v>
      </c>
      <c r="B92" s="4" t="n">
        <v>45953</v>
      </c>
      <c r="C92" s="2" t="n">
        <v>23</v>
      </c>
      <c r="D92" s="2" t="s">
        <v>221</v>
      </c>
      <c r="E92" s="5" t="n">
        <v>9</v>
      </c>
      <c r="F92" s="5" t="n">
        <v>0</v>
      </c>
      <c r="G92" s="5" t="n">
        <v>1626.58</v>
      </c>
      <c r="H92" s="2" t="s">
        <v>33</v>
      </c>
      <c r="I92" s="2" t="s">
        <v>27</v>
      </c>
      <c r="J92" s="6" t="n">
        <v>0.8</v>
      </c>
      <c r="K92" s="2" t="s">
        <v>28</v>
      </c>
      <c r="L92" s="5" t="n">
        <f aca="false">IF($K92="Y",ROUND($E92/11,2),0)</f>
        <v>0.82</v>
      </c>
      <c r="M92" s="2"/>
      <c r="N92" s="2" t="s">
        <v>29</v>
      </c>
      <c r="O92" s="2" t="s">
        <v>216</v>
      </c>
    </row>
    <row r="93" customFormat="false" ht="15" hidden="false" customHeight="false" outlineLevel="0" collapsed="false">
      <c r="A93" s="2" t="s">
        <v>222</v>
      </c>
      <c r="B93" s="4" t="n">
        <v>45953</v>
      </c>
      <c r="C93" s="2" t="n">
        <v>23</v>
      </c>
      <c r="D93" s="2" t="s">
        <v>215</v>
      </c>
      <c r="E93" s="5" t="n">
        <v>55</v>
      </c>
      <c r="F93" s="5" t="n">
        <v>0</v>
      </c>
      <c r="G93" s="5" t="n">
        <v>1571.58</v>
      </c>
      <c r="H93" s="2" t="s">
        <v>33</v>
      </c>
      <c r="I93" s="2" t="s">
        <v>27</v>
      </c>
      <c r="J93" s="6" t="n">
        <v>0.8</v>
      </c>
      <c r="K93" s="2" t="s">
        <v>28</v>
      </c>
      <c r="L93" s="5" t="n">
        <f aca="false">IF($K93="Y",ROUND($E93/11,2),0)</f>
        <v>5</v>
      </c>
      <c r="M93" s="2"/>
      <c r="N93" s="2" t="s">
        <v>29</v>
      </c>
      <c r="O93" s="2" t="s">
        <v>216</v>
      </c>
    </row>
    <row r="94" customFormat="false" ht="15" hidden="false" customHeight="false" outlineLevel="0" collapsed="false">
      <c r="A94" s="2" t="s">
        <v>223</v>
      </c>
      <c r="B94" s="4" t="n">
        <v>45957</v>
      </c>
      <c r="C94" s="2" t="n">
        <v>23</v>
      </c>
      <c r="D94" s="2" t="s">
        <v>224</v>
      </c>
      <c r="E94" s="5" t="n">
        <v>25</v>
      </c>
      <c r="F94" s="5" t="n">
        <v>0</v>
      </c>
      <c r="G94" s="5" t="n">
        <v>1546.58</v>
      </c>
      <c r="H94" s="2" t="s">
        <v>125</v>
      </c>
      <c r="I94" s="2" t="s">
        <v>27</v>
      </c>
      <c r="J94" s="6" t="n">
        <v>0.8</v>
      </c>
      <c r="K94" s="2" t="s">
        <v>28</v>
      </c>
      <c r="L94" s="5" t="n">
        <f aca="false">IF($K94="Y",ROUND($E94/11,2),0)</f>
        <v>2.27</v>
      </c>
      <c r="M94" s="2"/>
      <c r="N94" s="2" t="s">
        <v>29</v>
      </c>
      <c r="O94" s="2" t="s">
        <v>216</v>
      </c>
    </row>
    <row r="95" customFormat="false" ht="15" hidden="false" customHeight="false" outlineLevel="0" collapsed="false">
      <c r="A95" s="2" t="s">
        <v>225</v>
      </c>
      <c r="B95" s="4" t="n">
        <v>45957</v>
      </c>
      <c r="C95" s="2" t="n">
        <v>23</v>
      </c>
      <c r="D95" s="2" t="s">
        <v>226</v>
      </c>
      <c r="E95" s="5" t="n">
        <v>25</v>
      </c>
      <c r="F95" s="5" t="n">
        <v>0</v>
      </c>
      <c r="G95" s="5" t="n">
        <v>1521.58</v>
      </c>
      <c r="H95" s="2" t="s">
        <v>125</v>
      </c>
      <c r="I95" s="2" t="s">
        <v>27</v>
      </c>
      <c r="J95" s="6" t="n">
        <v>0.8</v>
      </c>
      <c r="K95" s="2" t="s">
        <v>28</v>
      </c>
      <c r="L95" s="5" t="n">
        <f aca="false">IF($K95="Y",ROUND($E95/11,2),0)</f>
        <v>2.27</v>
      </c>
      <c r="M95" s="2"/>
      <c r="N95" s="2" t="s">
        <v>29</v>
      </c>
      <c r="O95" s="2" t="s">
        <v>216</v>
      </c>
    </row>
    <row r="96" customFormat="false" ht="15" hidden="false" customHeight="false" outlineLevel="0" collapsed="false">
      <c r="A96" s="2" t="s">
        <v>227</v>
      </c>
      <c r="B96" s="4" t="n">
        <v>45957</v>
      </c>
      <c r="C96" s="2" t="n">
        <v>23</v>
      </c>
      <c r="D96" s="2" t="s">
        <v>228</v>
      </c>
      <c r="E96" s="5" t="n">
        <v>60.45</v>
      </c>
      <c r="F96" s="5" t="n">
        <v>0</v>
      </c>
      <c r="G96" s="5" t="n">
        <v>1461.13</v>
      </c>
      <c r="H96" s="2" t="s">
        <v>26</v>
      </c>
      <c r="I96" s="2" t="s">
        <v>27</v>
      </c>
      <c r="J96" s="6" t="n">
        <v>0.7</v>
      </c>
      <c r="K96" s="2" t="s">
        <v>28</v>
      </c>
      <c r="L96" s="5" t="n">
        <f aca="false">IF($K96="Y",ROUND($E96/11,2),0)</f>
        <v>5.5</v>
      </c>
      <c r="M96" s="2"/>
      <c r="N96" s="2" t="s">
        <v>29</v>
      </c>
      <c r="O96" s="2" t="s">
        <v>216</v>
      </c>
    </row>
    <row r="97" customFormat="false" ht="15" hidden="false" customHeight="false" outlineLevel="0" collapsed="false">
      <c r="A97" s="2" t="s">
        <v>229</v>
      </c>
      <c r="B97" s="4" t="n">
        <v>45957</v>
      </c>
      <c r="C97" s="2" t="n">
        <v>23</v>
      </c>
      <c r="D97" s="2" t="s">
        <v>230</v>
      </c>
      <c r="E97" s="5" t="n">
        <v>253.77</v>
      </c>
      <c r="F97" s="5" t="n">
        <v>0</v>
      </c>
      <c r="G97" s="5" t="n">
        <v>1207.36</v>
      </c>
      <c r="H97" s="2" t="s">
        <v>33</v>
      </c>
      <c r="I97" s="2" t="s">
        <v>27</v>
      </c>
      <c r="J97" s="6" t="n">
        <v>0.8</v>
      </c>
      <c r="K97" s="2" t="s">
        <v>28</v>
      </c>
      <c r="L97" s="5" t="n">
        <f aca="false">IF($K97="Y",ROUND($E97/11,2),0)</f>
        <v>23.07</v>
      </c>
      <c r="M97" s="2"/>
      <c r="N97" s="2" t="s">
        <v>29</v>
      </c>
      <c r="O97" s="2" t="s">
        <v>216</v>
      </c>
    </row>
    <row r="98" customFormat="false" ht="15" hidden="false" customHeight="false" outlineLevel="0" collapsed="false">
      <c r="A98" s="2" t="s">
        <v>231</v>
      </c>
      <c r="B98" s="4" t="n">
        <v>45958</v>
      </c>
      <c r="C98" s="2" t="n">
        <v>23</v>
      </c>
      <c r="D98" s="2" t="s">
        <v>232</v>
      </c>
      <c r="E98" s="5" t="n">
        <v>70</v>
      </c>
      <c r="F98" s="5" t="n">
        <v>0</v>
      </c>
      <c r="G98" s="5" t="n">
        <v>1137.36</v>
      </c>
      <c r="H98" s="7" t="s">
        <v>105</v>
      </c>
      <c r="I98" s="7" t="s">
        <v>37</v>
      </c>
      <c r="J98" s="6" t="n">
        <v>0.3</v>
      </c>
      <c r="K98" s="2" t="s">
        <v>29</v>
      </c>
      <c r="L98" s="5" t="n">
        <f aca="false">IF($K98="Y",ROUND($E98/11,2),0)</f>
        <v>0</v>
      </c>
      <c r="M98" s="2"/>
      <c r="N98" s="2" t="s">
        <v>28</v>
      </c>
      <c r="O98" s="2" t="s">
        <v>216</v>
      </c>
    </row>
    <row r="99" customFormat="false" ht="15" hidden="false" customHeight="false" outlineLevel="0" collapsed="false">
      <c r="A99" s="2" t="s">
        <v>233</v>
      </c>
      <c r="B99" s="4" t="n">
        <v>45960</v>
      </c>
      <c r="C99" s="2" t="n">
        <v>23</v>
      </c>
      <c r="D99" s="2" t="s">
        <v>234</v>
      </c>
      <c r="E99" s="5" t="n">
        <v>78.48</v>
      </c>
      <c r="F99" s="5" t="n">
        <v>0</v>
      </c>
      <c r="G99" s="5" t="n">
        <v>1058.88</v>
      </c>
      <c r="H99" s="2" t="s">
        <v>26</v>
      </c>
      <c r="I99" s="2" t="s">
        <v>27</v>
      </c>
      <c r="J99" s="6" t="n">
        <v>0.7</v>
      </c>
      <c r="K99" s="2" t="s">
        <v>28</v>
      </c>
      <c r="L99" s="5" t="n">
        <f aca="false">IF($K99="Y",ROUND($E99/11,2),0)</f>
        <v>7.13</v>
      </c>
      <c r="M99" s="2"/>
      <c r="N99" s="2" t="s">
        <v>29</v>
      </c>
      <c r="O99" s="2" t="s">
        <v>216</v>
      </c>
    </row>
    <row r="100" customFormat="false" ht="15" hidden="false" customHeight="false" outlineLevel="0" collapsed="false">
      <c r="A100" s="2" t="s">
        <v>235</v>
      </c>
      <c r="B100" s="4" t="n">
        <v>45964</v>
      </c>
      <c r="C100" s="2" t="n">
        <v>23</v>
      </c>
      <c r="D100" s="2" t="s">
        <v>236</v>
      </c>
      <c r="E100" s="5" t="n">
        <v>92.21</v>
      </c>
      <c r="F100" s="5" t="n">
        <v>0</v>
      </c>
      <c r="G100" s="5" t="n">
        <v>966.67</v>
      </c>
      <c r="H100" s="7" t="s">
        <v>105</v>
      </c>
      <c r="I100" s="7" t="s">
        <v>37</v>
      </c>
      <c r="J100" s="6" t="n">
        <v>0.3</v>
      </c>
      <c r="K100" s="2" t="s">
        <v>29</v>
      </c>
      <c r="L100" s="5" t="n">
        <f aca="false">IF($K100="Y",ROUND($E100/11,2),0)</f>
        <v>0</v>
      </c>
      <c r="M100" s="2"/>
      <c r="N100" s="2" t="s">
        <v>28</v>
      </c>
      <c r="O100" s="2" t="s">
        <v>237</v>
      </c>
    </row>
    <row r="101" customFormat="false" ht="15" hidden="false" customHeight="false" outlineLevel="0" collapsed="false">
      <c r="A101" s="2" t="s">
        <v>238</v>
      </c>
      <c r="B101" s="4" t="n">
        <v>45967</v>
      </c>
      <c r="C101" s="2" t="n">
        <v>23</v>
      </c>
      <c r="D101" s="2" t="s">
        <v>239</v>
      </c>
      <c r="E101" s="5" t="n">
        <v>0</v>
      </c>
      <c r="F101" s="5" t="n">
        <v>4000</v>
      </c>
      <c r="G101" s="5" t="n">
        <v>4966.67</v>
      </c>
      <c r="H101" s="7" t="s">
        <v>51</v>
      </c>
      <c r="I101" s="7" t="s">
        <v>27</v>
      </c>
      <c r="J101" s="6" t="n">
        <v>0.55</v>
      </c>
      <c r="K101" s="2" t="s">
        <v>29</v>
      </c>
      <c r="L101" s="5" t="n">
        <f aca="false">IF($K101="Y",ROUND($E101/11,2),0)</f>
        <v>0</v>
      </c>
      <c r="M101" s="2"/>
      <c r="N101" s="2" t="s">
        <v>28</v>
      </c>
      <c r="O101" s="2" t="s">
        <v>237</v>
      </c>
    </row>
    <row r="102" customFormat="false" ht="15" hidden="false" customHeight="false" outlineLevel="0" collapsed="false">
      <c r="A102" s="2" t="s">
        <v>240</v>
      </c>
      <c r="B102" s="4" t="n">
        <v>45967</v>
      </c>
      <c r="C102" s="2" t="n">
        <v>23</v>
      </c>
      <c r="D102" s="2" t="s">
        <v>241</v>
      </c>
      <c r="E102" s="5" t="n">
        <v>2000</v>
      </c>
      <c r="F102" s="5" t="n">
        <v>0</v>
      </c>
      <c r="G102" s="5" t="n">
        <v>2966.67</v>
      </c>
      <c r="H102" s="7" t="s">
        <v>242</v>
      </c>
      <c r="I102" s="7" t="s">
        <v>37</v>
      </c>
      <c r="J102" s="6" t="n">
        <v>0.8</v>
      </c>
      <c r="K102" s="2" t="s">
        <v>29</v>
      </c>
      <c r="L102" s="5" t="n">
        <f aca="false">IF($K102="Y",ROUND($E102/11,2),0)</f>
        <v>0</v>
      </c>
      <c r="M102" s="2"/>
      <c r="N102" s="2" t="s">
        <v>28</v>
      </c>
      <c r="O102" s="2" t="s">
        <v>237</v>
      </c>
    </row>
    <row r="103" customFormat="false" ht="15" hidden="false" customHeight="false" outlineLevel="0" collapsed="false">
      <c r="A103" s="2" t="s">
        <v>243</v>
      </c>
      <c r="B103" s="4" t="n">
        <v>45968</v>
      </c>
      <c r="C103" s="2" t="n">
        <v>23</v>
      </c>
      <c r="D103" s="2" t="s">
        <v>244</v>
      </c>
      <c r="E103" s="5" t="n">
        <v>3.55</v>
      </c>
      <c r="F103" s="5" t="n">
        <v>0</v>
      </c>
      <c r="G103" s="5" t="n">
        <v>2963.12</v>
      </c>
      <c r="H103" s="7" t="s">
        <v>105</v>
      </c>
      <c r="I103" s="7" t="s">
        <v>37</v>
      </c>
      <c r="J103" s="6" t="n">
        <v>0.3</v>
      </c>
      <c r="K103" s="2" t="s">
        <v>29</v>
      </c>
      <c r="L103" s="5" t="n">
        <f aca="false">IF($K103="Y",ROUND($E103/11,2),0)</f>
        <v>0</v>
      </c>
      <c r="M103" s="2"/>
      <c r="N103" s="2" t="s">
        <v>28</v>
      </c>
      <c r="O103" s="2" t="s">
        <v>237</v>
      </c>
    </row>
    <row r="104" customFormat="false" ht="15" hidden="false" customHeight="false" outlineLevel="0" collapsed="false">
      <c r="A104" s="2" t="s">
        <v>245</v>
      </c>
      <c r="B104" s="4" t="n">
        <v>45968</v>
      </c>
      <c r="C104" s="2" t="n">
        <v>23</v>
      </c>
      <c r="D104" s="2" t="s">
        <v>246</v>
      </c>
      <c r="E104" s="5" t="n">
        <v>75.34</v>
      </c>
      <c r="F104" s="5" t="n">
        <v>0</v>
      </c>
      <c r="G104" s="5" t="n">
        <v>2887.78</v>
      </c>
      <c r="H104" s="7" t="s">
        <v>105</v>
      </c>
      <c r="I104" s="7" t="s">
        <v>37</v>
      </c>
      <c r="J104" s="6" t="n">
        <v>0.3</v>
      </c>
      <c r="K104" s="2" t="s">
        <v>29</v>
      </c>
      <c r="L104" s="5" t="n">
        <f aca="false">IF($K104="Y",ROUND($E104/11,2),0)</f>
        <v>0</v>
      </c>
      <c r="M104" s="2"/>
      <c r="N104" s="2" t="s">
        <v>28</v>
      </c>
      <c r="O104" s="2" t="s">
        <v>237</v>
      </c>
    </row>
    <row r="105" customFormat="false" ht="15" hidden="false" customHeight="false" outlineLevel="0" collapsed="false">
      <c r="A105" s="2" t="s">
        <v>247</v>
      </c>
      <c r="B105" s="4" t="n">
        <v>45971</v>
      </c>
      <c r="C105" s="2" t="n">
        <v>23</v>
      </c>
      <c r="D105" s="2" t="s">
        <v>248</v>
      </c>
      <c r="E105" s="5" t="n">
        <v>50</v>
      </c>
      <c r="F105" s="5" t="n">
        <v>0</v>
      </c>
      <c r="G105" s="5" t="n">
        <v>2837.78</v>
      </c>
      <c r="H105" s="7" t="s">
        <v>36</v>
      </c>
      <c r="I105" s="7" t="s">
        <v>37</v>
      </c>
      <c r="J105" s="6" t="n">
        <v>0.7</v>
      </c>
      <c r="K105" s="2" t="s">
        <v>29</v>
      </c>
      <c r="L105" s="5" t="n">
        <f aca="false">IF($K105="Y",ROUND($E105/11,2),0)</f>
        <v>0</v>
      </c>
      <c r="M105" s="2" t="s">
        <v>38</v>
      </c>
      <c r="N105" s="2" t="s">
        <v>28</v>
      </c>
      <c r="O105" s="2" t="s">
        <v>237</v>
      </c>
    </row>
    <row r="106" customFormat="false" ht="15" hidden="false" customHeight="false" outlineLevel="0" collapsed="false">
      <c r="A106" s="2" t="s">
        <v>249</v>
      </c>
      <c r="B106" s="4" t="n">
        <v>45971</v>
      </c>
      <c r="C106" s="2" t="n">
        <v>23</v>
      </c>
      <c r="D106" s="2" t="s">
        <v>250</v>
      </c>
      <c r="E106" s="5" t="n">
        <v>93.07</v>
      </c>
      <c r="F106" s="5" t="n">
        <v>0</v>
      </c>
      <c r="G106" s="5" t="n">
        <v>2744.71</v>
      </c>
      <c r="H106" s="2" t="s">
        <v>26</v>
      </c>
      <c r="I106" s="2" t="s">
        <v>27</v>
      </c>
      <c r="J106" s="6" t="n">
        <v>0.7</v>
      </c>
      <c r="K106" s="2" t="s">
        <v>28</v>
      </c>
      <c r="L106" s="5" t="n">
        <f aca="false">IF($K106="Y",ROUND($E106/11,2),0)</f>
        <v>8.46</v>
      </c>
      <c r="M106" s="2"/>
      <c r="N106" s="2" t="s">
        <v>29</v>
      </c>
      <c r="O106" s="2" t="s">
        <v>237</v>
      </c>
    </row>
    <row r="107" customFormat="false" ht="15" hidden="false" customHeight="false" outlineLevel="0" collapsed="false">
      <c r="A107" s="2" t="s">
        <v>251</v>
      </c>
      <c r="B107" s="4" t="n">
        <v>45971</v>
      </c>
      <c r="C107" s="2" t="n">
        <v>23</v>
      </c>
      <c r="D107" s="2" t="s">
        <v>252</v>
      </c>
      <c r="E107" s="5" t="n">
        <v>111.99</v>
      </c>
      <c r="F107" s="5" t="n">
        <v>0</v>
      </c>
      <c r="G107" s="5" t="n">
        <v>2632.72</v>
      </c>
      <c r="H107" s="7" t="s">
        <v>105</v>
      </c>
      <c r="I107" s="7" t="s">
        <v>37</v>
      </c>
      <c r="J107" s="6" t="n">
        <v>0.3</v>
      </c>
      <c r="K107" s="2" t="s">
        <v>29</v>
      </c>
      <c r="L107" s="5" t="n">
        <f aca="false">IF($K107="Y",ROUND($E107/11,2),0)</f>
        <v>0</v>
      </c>
      <c r="M107" s="2"/>
      <c r="N107" s="2" t="s">
        <v>28</v>
      </c>
      <c r="O107" s="2" t="s">
        <v>237</v>
      </c>
    </row>
    <row r="108" customFormat="false" ht="15" hidden="false" customHeight="false" outlineLevel="0" collapsed="false">
      <c r="A108" s="2" t="s">
        <v>253</v>
      </c>
      <c r="B108" s="4" t="n">
        <v>45972</v>
      </c>
      <c r="C108" s="2" t="n">
        <v>23</v>
      </c>
      <c r="D108" s="2" t="s">
        <v>137</v>
      </c>
      <c r="E108" s="5" t="n">
        <v>0</v>
      </c>
      <c r="F108" s="5" t="n">
        <v>1000</v>
      </c>
      <c r="G108" s="5" t="n">
        <v>3632.72</v>
      </c>
      <c r="H108" s="7" t="s">
        <v>51</v>
      </c>
      <c r="I108" s="7" t="s">
        <v>27</v>
      </c>
      <c r="J108" s="6" t="n">
        <v>0.55</v>
      </c>
      <c r="K108" s="2" t="s">
        <v>29</v>
      </c>
      <c r="L108" s="5" t="n">
        <f aca="false">IF($K108="Y",ROUND($E108/11,2),0)</f>
        <v>0</v>
      </c>
      <c r="M108" s="2" t="s">
        <v>138</v>
      </c>
      <c r="N108" s="2" t="s">
        <v>28</v>
      </c>
      <c r="O108" s="2" t="s">
        <v>237</v>
      </c>
    </row>
    <row r="109" customFormat="false" ht="15" hidden="false" customHeight="false" outlineLevel="0" collapsed="false">
      <c r="A109" s="2" t="s">
        <v>254</v>
      </c>
      <c r="B109" s="4" t="n">
        <v>45972</v>
      </c>
      <c r="C109" s="2" t="n">
        <v>23</v>
      </c>
      <c r="D109" s="2" t="s">
        <v>255</v>
      </c>
      <c r="E109" s="5" t="n">
        <v>25</v>
      </c>
      <c r="F109" s="5" t="n">
        <v>0</v>
      </c>
      <c r="G109" s="5" t="n">
        <v>3607.72</v>
      </c>
      <c r="H109" s="2" t="s">
        <v>125</v>
      </c>
      <c r="I109" s="2" t="s">
        <v>27</v>
      </c>
      <c r="J109" s="6" t="n">
        <v>0.8</v>
      </c>
      <c r="K109" s="2" t="s">
        <v>28</v>
      </c>
      <c r="L109" s="5" t="n">
        <f aca="false">IF($K109="Y",ROUND($E109/11,2),0)</f>
        <v>2.27</v>
      </c>
      <c r="M109" s="2"/>
      <c r="N109" s="2" t="s">
        <v>29</v>
      </c>
      <c r="O109" s="2" t="s">
        <v>237</v>
      </c>
    </row>
    <row r="110" customFormat="false" ht="15" hidden="false" customHeight="false" outlineLevel="0" collapsed="false">
      <c r="A110" s="2" t="s">
        <v>256</v>
      </c>
      <c r="B110" s="4" t="n">
        <v>45972</v>
      </c>
      <c r="C110" s="2" t="n">
        <v>23</v>
      </c>
      <c r="D110" s="2" t="s">
        <v>257</v>
      </c>
      <c r="E110" s="5" t="n">
        <v>25</v>
      </c>
      <c r="F110" s="5" t="n">
        <v>0</v>
      </c>
      <c r="G110" s="5" t="n">
        <v>3582.72</v>
      </c>
      <c r="H110" s="2" t="s">
        <v>125</v>
      </c>
      <c r="I110" s="2" t="s">
        <v>27</v>
      </c>
      <c r="J110" s="6" t="n">
        <v>0.8</v>
      </c>
      <c r="K110" s="2" t="s">
        <v>28</v>
      </c>
      <c r="L110" s="5" t="n">
        <f aca="false">IF($K110="Y",ROUND($E110/11,2),0)</f>
        <v>2.27</v>
      </c>
      <c r="M110" s="2"/>
      <c r="N110" s="2" t="s">
        <v>29</v>
      </c>
      <c r="O110" s="2" t="s">
        <v>237</v>
      </c>
    </row>
    <row r="111" customFormat="false" ht="15" hidden="false" customHeight="false" outlineLevel="0" collapsed="false">
      <c r="A111" s="2" t="s">
        <v>258</v>
      </c>
      <c r="B111" s="4" t="n">
        <v>45972</v>
      </c>
      <c r="C111" s="2" t="n">
        <v>23</v>
      </c>
      <c r="D111" s="2" t="s">
        <v>259</v>
      </c>
      <c r="E111" s="5" t="n">
        <v>30</v>
      </c>
      <c r="F111" s="5" t="n">
        <v>0</v>
      </c>
      <c r="G111" s="5" t="n">
        <v>3552.72</v>
      </c>
      <c r="H111" s="7" t="s">
        <v>260</v>
      </c>
      <c r="I111" s="7" t="s">
        <v>27</v>
      </c>
      <c r="J111" s="6" t="n">
        <v>0.6</v>
      </c>
      <c r="K111" s="2" t="s">
        <v>28</v>
      </c>
      <c r="L111" s="5" t="n">
        <f aca="false">IF($K111="Y",ROUND($E111/11,2),0)</f>
        <v>2.73</v>
      </c>
      <c r="M111" s="2"/>
      <c r="N111" s="2" t="s">
        <v>28</v>
      </c>
      <c r="O111" s="2" t="s">
        <v>237</v>
      </c>
    </row>
    <row r="112" customFormat="false" ht="15" hidden="false" customHeight="false" outlineLevel="0" collapsed="false">
      <c r="A112" s="2" t="s">
        <v>261</v>
      </c>
      <c r="B112" s="4" t="n">
        <v>45973</v>
      </c>
      <c r="C112" s="2" t="n">
        <v>23</v>
      </c>
      <c r="D112" s="2" t="s">
        <v>262</v>
      </c>
      <c r="E112" s="5" t="n">
        <v>5</v>
      </c>
      <c r="F112" s="5" t="n">
        <v>0</v>
      </c>
      <c r="G112" s="5" t="n">
        <v>3547.72</v>
      </c>
      <c r="H112" s="7" t="s">
        <v>105</v>
      </c>
      <c r="I112" s="7" t="s">
        <v>37</v>
      </c>
      <c r="J112" s="6" t="n">
        <v>0.3</v>
      </c>
      <c r="K112" s="2" t="s">
        <v>29</v>
      </c>
      <c r="L112" s="5" t="n">
        <f aca="false">IF($K112="Y",ROUND($E112/11,2),0)</f>
        <v>0</v>
      </c>
      <c r="M112" s="2"/>
      <c r="N112" s="2" t="s">
        <v>28</v>
      </c>
      <c r="O112" s="2" t="s">
        <v>237</v>
      </c>
    </row>
    <row r="113" customFormat="false" ht="15" hidden="false" customHeight="false" outlineLevel="0" collapsed="false">
      <c r="A113" s="2" t="s">
        <v>263</v>
      </c>
      <c r="B113" s="4" t="n">
        <v>45973</v>
      </c>
      <c r="C113" s="2" t="n">
        <v>23</v>
      </c>
      <c r="D113" s="2" t="s">
        <v>264</v>
      </c>
      <c r="E113" s="5" t="n">
        <v>15</v>
      </c>
      <c r="F113" s="5" t="n">
        <v>0</v>
      </c>
      <c r="G113" s="5" t="n">
        <v>3532.72</v>
      </c>
      <c r="H113" s="7" t="s">
        <v>105</v>
      </c>
      <c r="I113" s="7" t="s">
        <v>37</v>
      </c>
      <c r="J113" s="6" t="n">
        <v>0.3</v>
      </c>
      <c r="K113" s="2" t="s">
        <v>29</v>
      </c>
      <c r="L113" s="5" t="n">
        <f aca="false">IF($K113="Y",ROUND($E113/11,2),0)</f>
        <v>0</v>
      </c>
      <c r="M113" s="2"/>
      <c r="N113" s="2" t="s">
        <v>28</v>
      </c>
      <c r="O113" s="2" t="s">
        <v>237</v>
      </c>
    </row>
    <row r="114" customFormat="false" ht="15" hidden="false" customHeight="false" outlineLevel="0" collapsed="false">
      <c r="A114" s="2" t="s">
        <v>265</v>
      </c>
      <c r="B114" s="4" t="n">
        <v>45973</v>
      </c>
      <c r="C114" s="2" t="n">
        <v>23</v>
      </c>
      <c r="D114" s="2" t="s">
        <v>266</v>
      </c>
      <c r="E114" s="5" t="n">
        <v>24.42</v>
      </c>
      <c r="F114" s="5" t="n">
        <v>0</v>
      </c>
      <c r="G114" s="5" t="n">
        <v>3508.3</v>
      </c>
      <c r="H114" s="7" t="s">
        <v>105</v>
      </c>
      <c r="I114" s="7" t="s">
        <v>37</v>
      </c>
      <c r="J114" s="6" t="n">
        <v>0.3</v>
      </c>
      <c r="K114" s="2" t="s">
        <v>29</v>
      </c>
      <c r="L114" s="5" t="n">
        <f aca="false">IF($K114="Y",ROUND($E114/11,2),0)</f>
        <v>0</v>
      </c>
      <c r="M114" s="2"/>
      <c r="N114" s="2" t="s">
        <v>28</v>
      </c>
      <c r="O114" s="2" t="s">
        <v>237</v>
      </c>
    </row>
    <row r="115" customFormat="false" ht="15" hidden="false" customHeight="false" outlineLevel="0" collapsed="false">
      <c r="A115" s="2" t="s">
        <v>267</v>
      </c>
      <c r="B115" s="4" t="n">
        <v>45973</v>
      </c>
      <c r="C115" s="2" t="n">
        <v>23</v>
      </c>
      <c r="D115" s="2" t="s">
        <v>268</v>
      </c>
      <c r="E115" s="5" t="n">
        <v>35.03</v>
      </c>
      <c r="F115" s="5" t="n">
        <v>0</v>
      </c>
      <c r="G115" s="5" t="n">
        <v>3473.27</v>
      </c>
      <c r="H115" s="7" t="s">
        <v>105</v>
      </c>
      <c r="I115" s="7" t="s">
        <v>37</v>
      </c>
      <c r="J115" s="6" t="n">
        <v>0.3</v>
      </c>
      <c r="K115" s="2" t="s">
        <v>29</v>
      </c>
      <c r="L115" s="5" t="n">
        <f aca="false">IF($K115="Y",ROUND($E115/11,2),0)</f>
        <v>0</v>
      </c>
      <c r="M115" s="2"/>
      <c r="N115" s="2" t="s">
        <v>28</v>
      </c>
      <c r="O115" s="2" t="s">
        <v>237</v>
      </c>
    </row>
    <row r="116" customFormat="false" ht="15" hidden="false" customHeight="false" outlineLevel="0" collapsed="false">
      <c r="A116" s="2" t="s">
        <v>269</v>
      </c>
      <c r="B116" s="4" t="n">
        <v>45973</v>
      </c>
      <c r="C116" s="2" t="n">
        <v>23</v>
      </c>
      <c r="D116" s="2" t="s">
        <v>270</v>
      </c>
      <c r="E116" s="5" t="n">
        <v>113.24</v>
      </c>
      <c r="F116" s="5" t="n">
        <v>0</v>
      </c>
      <c r="G116" s="5" t="n">
        <v>3360.03</v>
      </c>
      <c r="H116" s="2" t="s">
        <v>271</v>
      </c>
      <c r="I116" s="2" t="s">
        <v>27</v>
      </c>
      <c r="J116" s="6" t="n">
        <v>0.7</v>
      </c>
      <c r="K116" s="2" t="s">
        <v>28</v>
      </c>
      <c r="L116" s="5" t="n">
        <f aca="false">IF($K116="Y",ROUND($E116/11,2),0)</f>
        <v>10.29</v>
      </c>
      <c r="M116" s="2"/>
      <c r="N116" s="2" t="s">
        <v>29</v>
      </c>
      <c r="O116" s="2" t="s">
        <v>237</v>
      </c>
    </row>
    <row r="117" customFormat="false" ht="15" hidden="false" customHeight="false" outlineLevel="0" collapsed="false">
      <c r="A117" s="2" t="s">
        <v>272</v>
      </c>
      <c r="B117" s="4" t="n">
        <v>45973</v>
      </c>
      <c r="C117" s="2" t="n">
        <v>23</v>
      </c>
      <c r="D117" s="2" t="s">
        <v>273</v>
      </c>
      <c r="E117" s="5" t="n">
        <v>128</v>
      </c>
      <c r="F117" s="5" t="n">
        <v>0</v>
      </c>
      <c r="G117" s="5" t="n">
        <v>3232.03</v>
      </c>
      <c r="H117" s="7" t="s">
        <v>105</v>
      </c>
      <c r="I117" s="7" t="s">
        <v>37</v>
      </c>
      <c r="J117" s="6" t="n">
        <v>0.3</v>
      </c>
      <c r="K117" s="2" t="s">
        <v>29</v>
      </c>
      <c r="L117" s="5" t="n">
        <f aca="false">IF($K117="Y",ROUND($E117/11,2),0)</f>
        <v>0</v>
      </c>
      <c r="M117" s="2"/>
      <c r="N117" s="2" t="s">
        <v>28</v>
      </c>
      <c r="O117" s="2" t="s">
        <v>237</v>
      </c>
    </row>
    <row r="118" customFormat="false" ht="15" hidden="false" customHeight="false" outlineLevel="0" collapsed="false">
      <c r="A118" s="2" t="s">
        <v>274</v>
      </c>
      <c r="B118" s="4" t="n">
        <v>45973</v>
      </c>
      <c r="C118" s="2" t="n">
        <v>23</v>
      </c>
      <c r="D118" s="2" t="s">
        <v>275</v>
      </c>
      <c r="E118" s="5" t="n">
        <v>299</v>
      </c>
      <c r="F118" s="5" t="n">
        <v>0</v>
      </c>
      <c r="G118" s="5" t="n">
        <v>2933.03</v>
      </c>
      <c r="H118" s="7" t="s">
        <v>105</v>
      </c>
      <c r="I118" s="7" t="s">
        <v>37</v>
      </c>
      <c r="J118" s="6" t="n">
        <v>0.3</v>
      </c>
      <c r="K118" s="2" t="s">
        <v>29</v>
      </c>
      <c r="L118" s="5" t="n">
        <f aca="false">IF($K118="Y",ROUND($E118/11,2),0)</f>
        <v>0</v>
      </c>
      <c r="M118" s="2"/>
      <c r="N118" s="2" t="s">
        <v>28</v>
      </c>
      <c r="O118" s="2" t="s">
        <v>237</v>
      </c>
    </row>
    <row r="119" customFormat="false" ht="15" hidden="false" customHeight="false" outlineLevel="0" collapsed="false">
      <c r="A119" s="2" t="s">
        <v>276</v>
      </c>
      <c r="B119" s="4" t="n">
        <v>45974</v>
      </c>
      <c r="C119" s="2" t="n">
        <v>23</v>
      </c>
      <c r="D119" s="2" t="s">
        <v>277</v>
      </c>
      <c r="E119" s="5" t="n">
        <v>27</v>
      </c>
      <c r="F119" s="5" t="n">
        <v>0</v>
      </c>
      <c r="G119" s="5" t="n">
        <v>2906.03</v>
      </c>
      <c r="H119" s="7" t="s">
        <v>105</v>
      </c>
      <c r="I119" s="7" t="s">
        <v>37</v>
      </c>
      <c r="J119" s="6" t="n">
        <v>0.3</v>
      </c>
      <c r="K119" s="2" t="s">
        <v>29</v>
      </c>
      <c r="L119" s="5" t="n">
        <f aca="false">IF($K119="Y",ROUND($E119/11,2),0)</f>
        <v>0</v>
      </c>
      <c r="M119" s="2"/>
      <c r="N119" s="2" t="s">
        <v>28</v>
      </c>
      <c r="O119" s="2" t="s">
        <v>237</v>
      </c>
    </row>
    <row r="120" customFormat="false" ht="15" hidden="false" customHeight="false" outlineLevel="0" collapsed="false">
      <c r="A120" s="2" t="s">
        <v>278</v>
      </c>
      <c r="B120" s="4" t="n">
        <v>45974</v>
      </c>
      <c r="C120" s="2" t="n">
        <v>23</v>
      </c>
      <c r="D120" s="2" t="s">
        <v>279</v>
      </c>
      <c r="E120" s="5" t="n">
        <v>2000</v>
      </c>
      <c r="F120" s="5" t="n">
        <v>0</v>
      </c>
      <c r="G120" s="5" t="n">
        <v>906.03</v>
      </c>
      <c r="H120" s="7" t="s">
        <v>105</v>
      </c>
      <c r="I120" s="7" t="s">
        <v>37</v>
      </c>
      <c r="J120" s="6" t="n">
        <v>0.3</v>
      </c>
      <c r="K120" s="2" t="s">
        <v>29</v>
      </c>
      <c r="L120" s="5" t="n">
        <f aca="false">IF($K120="Y",ROUND($E120/11,2),0)</f>
        <v>0</v>
      </c>
      <c r="M120" s="2"/>
      <c r="N120" s="2" t="s">
        <v>28</v>
      </c>
      <c r="O120" s="2" t="s">
        <v>237</v>
      </c>
    </row>
    <row r="121" customFormat="false" ht="15" hidden="false" customHeight="false" outlineLevel="0" collapsed="false">
      <c r="A121" s="2" t="s">
        <v>280</v>
      </c>
      <c r="B121" s="4" t="n">
        <v>45975</v>
      </c>
      <c r="C121" s="2" t="n">
        <v>23</v>
      </c>
      <c r="D121" s="2" t="s">
        <v>281</v>
      </c>
      <c r="E121" s="5" t="n">
        <v>20</v>
      </c>
      <c r="F121" s="5" t="n">
        <v>0</v>
      </c>
      <c r="G121" s="5" t="n">
        <v>886.03</v>
      </c>
      <c r="H121" s="7" t="s">
        <v>105</v>
      </c>
      <c r="I121" s="7" t="s">
        <v>37</v>
      </c>
      <c r="J121" s="6" t="n">
        <v>0.3</v>
      </c>
      <c r="K121" s="2" t="s">
        <v>29</v>
      </c>
      <c r="L121" s="5" t="n">
        <f aca="false">IF($K121="Y",ROUND($E121/11,2),0)</f>
        <v>0</v>
      </c>
      <c r="M121" s="2"/>
      <c r="N121" s="2" t="s">
        <v>28</v>
      </c>
      <c r="O121" s="2" t="s">
        <v>237</v>
      </c>
    </row>
    <row r="122" customFormat="false" ht="15" hidden="false" customHeight="false" outlineLevel="0" collapsed="false">
      <c r="A122" s="2" t="s">
        <v>282</v>
      </c>
      <c r="B122" s="4" t="n">
        <v>45975</v>
      </c>
      <c r="C122" s="2" t="n">
        <v>23</v>
      </c>
      <c r="D122" s="2" t="s">
        <v>283</v>
      </c>
      <c r="E122" s="5" t="n">
        <v>55.22</v>
      </c>
      <c r="F122" s="5" t="n">
        <v>0</v>
      </c>
      <c r="G122" s="5" t="n">
        <v>830.81</v>
      </c>
      <c r="H122" s="7" t="s">
        <v>105</v>
      </c>
      <c r="I122" s="7" t="s">
        <v>37</v>
      </c>
      <c r="J122" s="6" t="n">
        <v>0.3</v>
      </c>
      <c r="K122" s="2" t="s">
        <v>29</v>
      </c>
      <c r="L122" s="5" t="n">
        <f aca="false">IF($K122="Y",ROUND($E122/11,2),0)</f>
        <v>0</v>
      </c>
      <c r="M122" s="2"/>
      <c r="N122" s="2" t="s">
        <v>28</v>
      </c>
      <c r="O122" s="2" t="s">
        <v>237</v>
      </c>
    </row>
    <row r="123" customFormat="false" ht="15" hidden="false" customHeight="false" outlineLevel="0" collapsed="false">
      <c r="A123" s="2" t="s">
        <v>284</v>
      </c>
      <c r="B123" s="4" t="n">
        <v>45975</v>
      </c>
      <c r="C123" s="2" t="n">
        <v>23</v>
      </c>
      <c r="D123" s="2" t="s">
        <v>285</v>
      </c>
      <c r="E123" s="5" t="n">
        <v>180.02</v>
      </c>
      <c r="F123" s="5" t="n">
        <v>0</v>
      </c>
      <c r="G123" s="5" t="n">
        <v>650.79</v>
      </c>
      <c r="H123" s="2" t="s">
        <v>33</v>
      </c>
      <c r="I123" s="2" t="s">
        <v>27</v>
      </c>
      <c r="J123" s="6" t="n">
        <v>0.8</v>
      </c>
      <c r="K123" s="2" t="s">
        <v>28</v>
      </c>
      <c r="L123" s="5" t="n">
        <f aca="false">IF($K123="Y",ROUND($E123/11,2),0)</f>
        <v>16.37</v>
      </c>
      <c r="M123" s="2"/>
      <c r="N123" s="2" t="s">
        <v>29</v>
      </c>
      <c r="O123" s="2" t="s">
        <v>237</v>
      </c>
    </row>
    <row r="124" customFormat="false" ht="15" hidden="false" customHeight="false" outlineLevel="0" collapsed="false">
      <c r="A124" s="2" t="s">
        <v>286</v>
      </c>
      <c r="B124" s="4" t="n">
        <v>45978</v>
      </c>
      <c r="C124" s="2" t="n">
        <v>23</v>
      </c>
      <c r="D124" s="2" t="s">
        <v>287</v>
      </c>
      <c r="E124" s="5" t="n">
        <v>0</v>
      </c>
      <c r="F124" s="5" t="n">
        <v>1000</v>
      </c>
      <c r="G124" s="5" t="n">
        <v>1650.79</v>
      </c>
      <c r="H124" s="7" t="s">
        <v>51</v>
      </c>
      <c r="I124" s="7" t="s">
        <v>27</v>
      </c>
      <c r="J124" s="6" t="n">
        <v>0.55</v>
      </c>
      <c r="K124" s="2" t="s">
        <v>29</v>
      </c>
      <c r="L124" s="5" t="n">
        <f aca="false">IF($K124="Y",ROUND($E124/11,2),0)</f>
        <v>0</v>
      </c>
      <c r="M124" s="2" t="s">
        <v>138</v>
      </c>
      <c r="N124" s="2" t="s">
        <v>28</v>
      </c>
      <c r="O124" s="2" t="s">
        <v>237</v>
      </c>
    </row>
    <row r="125" customFormat="false" ht="15" hidden="false" customHeight="false" outlineLevel="0" collapsed="false">
      <c r="A125" s="2" t="s">
        <v>288</v>
      </c>
      <c r="B125" s="4" t="n">
        <v>45978</v>
      </c>
      <c r="C125" s="2" t="n">
        <v>23</v>
      </c>
      <c r="D125" s="2" t="s">
        <v>289</v>
      </c>
      <c r="E125" s="5" t="n">
        <v>23.88</v>
      </c>
      <c r="F125" s="5" t="n">
        <v>0</v>
      </c>
      <c r="G125" s="5" t="n">
        <v>1626.91</v>
      </c>
      <c r="H125" s="7" t="s">
        <v>105</v>
      </c>
      <c r="I125" s="7" t="s">
        <v>37</v>
      </c>
      <c r="J125" s="6" t="n">
        <v>0.3</v>
      </c>
      <c r="K125" s="2" t="s">
        <v>29</v>
      </c>
      <c r="L125" s="5" t="n">
        <f aca="false">IF($K125="Y",ROUND($E125/11,2),0)</f>
        <v>0</v>
      </c>
      <c r="M125" s="2"/>
      <c r="N125" s="2" t="s">
        <v>28</v>
      </c>
      <c r="O125" s="2" t="s">
        <v>237</v>
      </c>
    </row>
    <row r="126" customFormat="false" ht="15" hidden="false" customHeight="false" outlineLevel="0" collapsed="false">
      <c r="A126" s="2" t="s">
        <v>290</v>
      </c>
      <c r="B126" s="4" t="n">
        <v>45978</v>
      </c>
      <c r="C126" s="2" t="n">
        <v>23</v>
      </c>
      <c r="D126" s="2" t="s">
        <v>291</v>
      </c>
      <c r="E126" s="5" t="n">
        <v>33</v>
      </c>
      <c r="F126" s="5" t="n">
        <v>0</v>
      </c>
      <c r="G126" s="5" t="n">
        <v>1593.91</v>
      </c>
      <c r="H126" s="7" t="s">
        <v>105</v>
      </c>
      <c r="I126" s="7" t="s">
        <v>37</v>
      </c>
      <c r="J126" s="6" t="n">
        <v>0.3</v>
      </c>
      <c r="K126" s="2" t="s">
        <v>29</v>
      </c>
      <c r="L126" s="5" t="n">
        <f aca="false">IF($K126="Y",ROUND($E126/11,2),0)</f>
        <v>0</v>
      </c>
      <c r="M126" s="2"/>
      <c r="N126" s="2" t="s">
        <v>28</v>
      </c>
      <c r="O126" s="2" t="s">
        <v>237</v>
      </c>
    </row>
    <row r="127" customFormat="false" ht="15" hidden="false" customHeight="false" outlineLevel="0" collapsed="false">
      <c r="A127" s="2" t="s">
        <v>292</v>
      </c>
      <c r="B127" s="4" t="n">
        <v>45979</v>
      </c>
      <c r="C127" s="2" t="n">
        <v>23</v>
      </c>
      <c r="D127" s="2" t="s">
        <v>293</v>
      </c>
      <c r="E127" s="5" t="n">
        <v>39.79</v>
      </c>
      <c r="F127" s="5" t="n">
        <v>0</v>
      </c>
      <c r="G127" s="5" t="n">
        <v>1554.12</v>
      </c>
      <c r="H127" s="7" t="s">
        <v>294</v>
      </c>
      <c r="I127" s="7" t="s">
        <v>37</v>
      </c>
      <c r="J127" s="6" t="n">
        <v>0.5</v>
      </c>
      <c r="K127" s="2" t="s">
        <v>29</v>
      </c>
      <c r="L127" s="5" t="n">
        <f aca="false">IF($K127="Y",ROUND($E127/11,2),0)</f>
        <v>0</v>
      </c>
      <c r="M127" s="2"/>
      <c r="N127" s="2" t="s">
        <v>28</v>
      </c>
      <c r="O127" s="2" t="s">
        <v>237</v>
      </c>
    </row>
    <row r="128" customFormat="false" ht="15" hidden="false" customHeight="false" outlineLevel="0" collapsed="false">
      <c r="A128" s="2" t="s">
        <v>295</v>
      </c>
      <c r="B128" s="4" t="n">
        <v>45979</v>
      </c>
      <c r="C128" s="2" t="n">
        <v>23</v>
      </c>
      <c r="D128" s="2" t="s">
        <v>296</v>
      </c>
      <c r="E128" s="5" t="n">
        <v>60.8</v>
      </c>
      <c r="F128" s="5" t="n">
        <v>0</v>
      </c>
      <c r="G128" s="5" t="n">
        <v>1493.32</v>
      </c>
      <c r="H128" s="2" t="s">
        <v>26</v>
      </c>
      <c r="I128" s="2" t="s">
        <v>27</v>
      </c>
      <c r="J128" s="6" t="n">
        <v>0.7</v>
      </c>
      <c r="K128" s="2" t="s">
        <v>28</v>
      </c>
      <c r="L128" s="5" t="n">
        <f aca="false">IF($K128="Y",ROUND($E128/11,2),0)</f>
        <v>5.53</v>
      </c>
      <c r="M128" s="2"/>
      <c r="N128" s="2" t="s">
        <v>29</v>
      </c>
      <c r="O128" s="2" t="s">
        <v>237</v>
      </c>
    </row>
    <row r="129" customFormat="false" ht="15" hidden="false" customHeight="false" outlineLevel="0" collapsed="false">
      <c r="A129" s="2" t="s">
        <v>297</v>
      </c>
      <c r="B129" s="4" t="n">
        <v>45982</v>
      </c>
      <c r="C129" s="2" t="n">
        <v>24</v>
      </c>
      <c r="D129" s="2" t="s">
        <v>298</v>
      </c>
      <c r="E129" s="5" t="n">
        <v>98.54</v>
      </c>
      <c r="F129" s="5" t="n">
        <v>0</v>
      </c>
      <c r="G129" s="5" t="n">
        <v>1394.78</v>
      </c>
      <c r="H129" s="2" t="s">
        <v>26</v>
      </c>
      <c r="I129" s="2" t="s">
        <v>27</v>
      </c>
      <c r="J129" s="6" t="n">
        <v>0.7</v>
      </c>
      <c r="K129" s="2" t="s">
        <v>28</v>
      </c>
      <c r="L129" s="5" t="n">
        <f aca="false">IF($K129="Y",ROUND($E129/11,2),0)</f>
        <v>8.96</v>
      </c>
      <c r="M129" s="2"/>
      <c r="N129" s="2" t="s">
        <v>29</v>
      </c>
      <c r="O129" s="2" t="s">
        <v>237</v>
      </c>
    </row>
    <row r="130" customFormat="false" ht="15" hidden="false" customHeight="false" outlineLevel="0" collapsed="false">
      <c r="A130" s="2" t="s">
        <v>299</v>
      </c>
      <c r="B130" s="4" t="n">
        <v>45982</v>
      </c>
      <c r="C130" s="2" t="n">
        <v>24</v>
      </c>
      <c r="D130" s="2" t="s">
        <v>300</v>
      </c>
      <c r="E130" s="5" t="n">
        <v>189</v>
      </c>
      <c r="F130" s="5" t="n">
        <v>0</v>
      </c>
      <c r="G130" s="5" t="n">
        <v>1205.78</v>
      </c>
      <c r="H130" s="7" t="s">
        <v>105</v>
      </c>
      <c r="I130" s="7" t="s">
        <v>37</v>
      </c>
      <c r="J130" s="6" t="n">
        <v>0.3</v>
      </c>
      <c r="K130" s="2" t="s">
        <v>29</v>
      </c>
      <c r="L130" s="5" t="n">
        <f aca="false">IF($K130="Y",ROUND($E130/11,2),0)</f>
        <v>0</v>
      </c>
      <c r="M130" s="2"/>
      <c r="N130" s="2" t="s">
        <v>28</v>
      </c>
      <c r="O130" s="2" t="s">
        <v>237</v>
      </c>
    </row>
    <row r="131" customFormat="false" ht="15" hidden="false" customHeight="false" outlineLevel="0" collapsed="false">
      <c r="A131" s="2" t="s">
        <v>301</v>
      </c>
      <c r="B131" s="4" t="n">
        <v>45985</v>
      </c>
      <c r="C131" s="2" t="n">
        <v>24</v>
      </c>
      <c r="D131" s="2" t="s">
        <v>293</v>
      </c>
      <c r="E131" s="5" t="n">
        <v>0</v>
      </c>
      <c r="F131" s="5" t="n">
        <v>0.01</v>
      </c>
      <c r="G131" s="5" t="n">
        <v>1205.79</v>
      </c>
      <c r="H131" s="7" t="s">
        <v>51</v>
      </c>
      <c r="I131" s="7" t="s">
        <v>27</v>
      </c>
      <c r="J131" s="6" t="n">
        <v>0.55</v>
      </c>
      <c r="K131" s="2" t="s">
        <v>29</v>
      </c>
      <c r="L131" s="5" t="n">
        <f aca="false">IF($K131="Y",ROUND($E131/11,2),0)</f>
        <v>0</v>
      </c>
      <c r="M131" s="2"/>
      <c r="N131" s="2" t="s">
        <v>28</v>
      </c>
      <c r="O131" s="2" t="s">
        <v>237</v>
      </c>
    </row>
    <row r="132" customFormat="false" ht="15" hidden="false" customHeight="false" outlineLevel="0" collapsed="false">
      <c r="A132" s="2" t="s">
        <v>302</v>
      </c>
      <c r="B132" s="4" t="n">
        <v>45985</v>
      </c>
      <c r="C132" s="2" t="n">
        <v>24</v>
      </c>
      <c r="D132" s="2" t="s">
        <v>137</v>
      </c>
      <c r="E132" s="5" t="n">
        <v>0</v>
      </c>
      <c r="F132" s="5" t="n">
        <v>1000</v>
      </c>
      <c r="G132" s="5" t="n">
        <v>2205.79</v>
      </c>
      <c r="H132" s="7" t="s">
        <v>51</v>
      </c>
      <c r="I132" s="7" t="s">
        <v>27</v>
      </c>
      <c r="J132" s="6" t="n">
        <v>0.55</v>
      </c>
      <c r="K132" s="2" t="s">
        <v>29</v>
      </c>
      <c r="L132" s="5" t="n">
        <f aca="false">IF($K132="Y",ROUND($E132/11,2),0)</f>
        <v>0</v>
      </c>
      <c r="M132" s="2" t="s">
        <v>138</v>
      </c>
      <c r="N132" s="2" t="s">
        <v>28</v>
      </c>
      <c r="O132" s="2" t="s">
        <v>237</v>
      </c>
    </row>
    <row r="133" customFormat="false" ht="15" hidden="false" customHeight="false" outlineLevel="0" collapsed="false">
      <c r="A133" s="2" t="s">
        <v>303</v>
      </c>
      <c r="B133" s="4" t="n">
        <v>45985</v>
      </c>
      <c r="C133" s="2" t="n">
        <v>24</v>
      </c>
      <c r="D133" s="2" t="s">
        <v>304</v>
      </c>
      <c r="E133" s="5" t="n">
        <v>17.08</v>
      </c>
      <c r="F133" s="5" t="n">
        <v>0</v>
      </c>
      <c r="G133" s="5" t="n">
        <v>2188.71</v>
      </c>
      <c r="H133" s="7" t="s">
        <v>105</v>
      </c>
      <c r="I133" s="7" t="s">
        <v>37</v>
      </c>
      <c r="J133" s="6" t="n">
        <v>0.3</v>
      </c>
      <c r="K133" s="2" t="s">
        <v>29</v>
      </c>
      <c r="L133" s="5" t="n">
        <f aca="false">IF($K133="Y",ROUND($E133/11,2),0)</f>
        <v>0</v>
      </c>
      <c r="M133" s="2"/>
      <c r="N133" s="2" t="s">
        <v>28</v>
      </c>
      <c r="O133" s="2" t="s">
        <v>237</v>
      </c>
    </row>
    <row r="134" customFormat="false" ht="15" hidden="false" customHeight="false" outlineLevel="0" collapsed="false">
      <c r="A134" s="2" t="s">
        <v>305</v>
      </c>
      <c r="B134" s="4" t="n">
        <v>45985</v>
      </c>
      <c r="C134" s="2" t="n">
        <v>24</v>
      </c>
      <c r="D134" s="2" t="s">
        <v>293</v>
      </c>
      <c r="E134" s="5" t="n">
        <v>29.43</v>
      </c>
      <c r="F134" s="5" t="n">
        <v>0</v>
      </c>
      <c r="G134" s="5" t="n">
        <v>2159.28</v>
      </c>
      <c r="H134" s="7" t="s">
        <v>294</v>
      </c>
      <c r="I134" s="7" t="s">
        <v>37</v>
      </c>
      <c r="J134" s="6" t="n">
        <v>0.5</v>
      </c>
      <c r="K134" s="2" t="s">
        <v>29</v>
      </c>
      <c r="L134" s="5" t="n">
        <f aca="false">IF($K134="Y",ROUND($E134/11,2),0)</f>
        <v>0</v>
      </c>
      <c r="M134" s="2"/>
      <c r="N134" s="2" t="s">
        <v>28</v>
      </c>
      <c r="O134" s="2" t="s">
        <v>237</v>
      </c>
    </row>
    <row r="135" customFormat="false" ht="15" hidden="false" customHeight="false" outlineLevel="0" collapsed="false">
      <c r="A135" s="2" t="s">
        <v>306</v>
      </c>
      <c r="B135" s="4" t="n">
        <v>45985</v>
      </c>
      <c r="C135" s="2" t="n">
        <v>24</v>
      </c>
      <c r="D135" s="2" t="s">
        <v>307</v>
      </c>
      <c r="E135" s="5" t="n">
        <v>37.2</v>
      </c>
      <c r="F135" s="5" t="n">
        <v>0</v>
      </c>
      <c r="G135" s="5" t="n">
        <v>2122.08</v>
      </c>
      <c r="H135" s="7" t="s">
        <v>308</v>
      </c>
      <c r="I135" s="7" t="s">
        <v>37</v>
      </c>
      <c r="J135" s="6" t="n">
        <v>0.6</v>
      </c>
      <c r="K135" s="2" t="s">
        <v>29</v>
      </c>
      <c r="L135" s="5" t="n">
        <f aca="false">IF($K135="Y",ROUND($E135/11,2),0)</f>
        <v>0</v>
      </c>
      <c r="M135" s="2"/>
      <c r="N135" s="2" t="s">
        <v>28</v>
      </c>
      <c r="O135" s="2" t="s">
        <v>237</v>
      </c>
    </row>
    <row r="136" customFormat="false" ht="15" hidden="false" customHeight="false" outlineLevel="0" collapsed="false">
      <c r="A136" s="2" t="s">
        <v>309</v>
      </c>
      <c r="B136" s="4" t="n">
        <v>45985</v>
      </c>
      <c r="C136" s="2" t="n">
        <v>24</v>
      </c>
      <c r="D136" s="2" t="s">
        <v>310</v>
      </c>
      <c r="E136" s="5" t="n">
        <v>44.11</v>
      </c>
      <c r="F136" s="5" t="n">
        <v>0</v>
      </c>
      <c r="G136" s="5" t="n">
        <v>2077.97</v>
      </c>
      <c r="H136" s="7" t="s">
        <v>105</v>
      </c>
      <c r="I136" s="7" t="s">
        <v>37</v>
      </c>
      <c r="J136" s="6" t="n">
        <v>0.3</v>
      </c>
      <c r="K136" s="2" t="s">
        <v>29</v>
      </c>
      <c r="L136" s="5" t="n">
        <f aca="false">IF($K136="Y",ROUND($E136/11,2),0)</f>
        <v>0</v>
      </c>
      <c r="M136" s="2"/>
      <c r="N136" s="2" t="s">
        <v>28</v>
      </c>
      <c r="O136" s="2" t="s">
        <v>237</v>
      </c>
    </row>
    <row r="137" customFormat="false" ht="15" hidden="false" customHeight="false" outlineLevel="0" collapsed="false">
      <c r="A137" s="2" t="s">
        <v>311</v>
      </c>
      <c r="B137" s="4" t="n">
        <v>45985</v>
      </c>
      <c r="C137" s="2" t="n">
        <v>24</v>
      </c>
      <c r="D137" s="2" t="s">
        <v>312</v>
      </c>
      <c r="E137" s="5" t="n">
        <v>94.74</v>
      </c>
      <c r="F137" s="5" t="n">
        <v>0</v>
      </c>
      <c r="G137" s="5" t="n">
        <v>1983.23</v>
      </c>
      <c r="H137" s="2" t="s">
        <v>26</v>
      </c>
      <c r="I137" s="2" t="s">
        <v>27</v>
      </c>
      <c r="J137" s="6" t="n">
        <v>0.7</v>
      </c>
      <c r="K137" s="2" t="s">
        <v>28</v>
      </c>
      <c r="L137" s="5" t="n">
        <f aca="false">IF($K137="Y",ROUND($E137/11,2),0)</f>
        <v>8.61</v>
      </c>
      <c r="M137" s="2"/>
      <c r="N137" s="2" t="s">
        <v>29</v>
      </c>
      <c r="O137" s="2" t="s">
        <v>237</v>
      </c>
    </row>
    <row r="138" customFormat="false" ht="15" hidden="false" customHeight="false" outlineLevel="0" collapsed="false">
      <c r="A138" s="2" t="s">
        <v>313</v>
      </c>
      <c r="B138" s="4" t="n">
        <v>45986</v>
      </c>
      <c r="C138" s="2" t="n">
        <v>24</v>
      </c>
      <c r="D138" s="2" t="s">
        <v>314</v>
      </c>
      <c r="E138" s="5" t="n">
        <v>0</v>
      </c>
      <c r="F138" s="5" t="n">
        <v>16.46</v>
      </c>
      <c r="G138" s="5" t="n">
        <v>1999.69</v>
      </c>
      <c r="H138" s="7" t="s">
        <v>51</v>
      </c>
      <c r="I138" s="7" t="s">
        <v>27</v>
      </c>
      <c r="J138" s="6" t="n">
        <v>0.55</v>
      </c>
      <c r="K138" s="2" t="s">
        <v>29</v>
      </c>
      <c r="L138" s="5" t="n">
        <f aca="false">IF($K138="Y",ROUND($E138/11,2),0)</f>
        <v>0</v>
      </c>
      <c r="M138" s="2"/>
      <c r="N138" s="2" t="s">
        <v>28</v>
      </c>
      <c r="O138" s="2" t="s">
        <v>237</v>
      </c>
    </row>
    <row r="139" customFormat="false" ht="15" hidden="false" customHeight="false" outlineLevel="0" collapsed="false">
      <c r="A139" s="2" t="s">
        <v>315</v>
      </c>
      <c r="B139" s="4" t="n">
        <v>45986</v>
      </c>
      <c r="C139" s="2" t="n">
        <v>24</v>
      </c>
      <c r="D139" s="2" t="s">
        <v>316</v>
      </c>
      <c r="E139" s="5" t="n">
        <v>0</v>
      </c>
      <c r="F139" s="5" t="n">
        <v>42.53</v>
      </c>
      <c r="G139" s="5" t="n">
        <v>2042.22</v>
      </c>
      <c r="H139" s="7" t="s">
        <v>51</v>
      </c>
      <c r="I139" s="7" t="s">
        <v>27</v>
      </c>
      <c r="J139" s="6" t="n">
        <v>0.55</v>
      </c>
      <c r="K139" s="2" t="s">
        <v>29</v>
      </c>
      <c r="L139" s="5" t="n">
        <f aca="false">IF($K139="Y",ROUND($E139/11,2),0)</f>
        <v>0</v>
      </c>
      <c r="M139" s="2"/>
      <c r="N139" s="2" t="s">
        <v>28</v>
      </c>
      <c r="O139" s="2" t="s">
        <v>237</v>
      </c>
    </row>
    <row r="140" customFormat="false" ht="15" hidden="false" customHeight="false" outlineLevel="0" collapsed="false">
      <c r="A140" s="2" t="s">
        <v>317</v>
      </c>
      <c r="B140" s="4" t="n">
        <v>45986</v>
      </c>
      <c r="C140" s="2" t="n">
        <v>24</v>
      </c>
      <c r="D140" s="2" t="s">
        <v>293</v>
      </c>
      <c r="E140" s="5" t="n">
        <v>21.62</v>
      </c>
      <c r="F140" s="5" t="n">
        <v>0</v>
      </c>
      <c r="G140" s="5" t="n">
        <v>2020.6</v>
      </c>
      <c r="H140" s="7" t="s">
        <v>294</v>
      </c>
      <c r="I140" s="7" t="s">
        <v>37</v>
      </c>
      <c r="J140" s="6" t="n">
        <v>0.5</v>
      </c>
      <c r="K140" s="2" t="s">
        <v>29</v>
      </c>
      <c r="L140" s="5" t="n">
        <f aca="false">IF($K140="Y",ROUND($E140/11,2),0)</f>
        <v>0</v>
      </c>
      <c r="M140" s="2"/>
      <c r="N140" s="2" t="s">
        <v>28</v>
      </c>
      <c r="O140" s="2" t="s">
        <v>237</v>
      </c>
    </row>
    <row r="141" customFormat="false" ht="15" hidden="false" customHeight="false" outlineLevel="0" collapsed="false">
      <c r="A141" s="2" t="s">
        <v>318</v>
      </c>
      <c r="B141" s="4" t="n">
        <v>45986</v>
      </c>
      <c r="C141" s="2" t="n">
        <v>24</v>
      </c>
      <c r="D141" s="2" t="s">
        <v>319</v>
      </c>
      <c r="E141" s="5" t="n">
        <v>24.05</v>
      </c>
      <c r="F141" s="5" t="n">
        <v>0</v>
      </c>
      <c r="G141" s="5" t="n">
        <v>1996.55</v>
      </c>
      <c r="H141" s="7" t="s">
        <v>105</v>
      </c>
      <c r="I141" s="7" t="s">
        <v>37</v>
      </c>
      <c r="J141" s="6" t="n">
        <v>0.3</v>
      </c>
      <c r="K141" s="2" t="s">
        <v>29</v>
      </c>
      <c r="L141" s="5" t="n">
        <f aca="false">IF($K141="Y",ROUND($E141/11,2),0)</f>
        <v>0</v>
      </c>
      <c r="M141" s="2"/>
      <c r="N141" s="2" t="s">
        <v>28</v>
      </c>
      <c r="O141" s="2" t="s">
        <v>237</v>
      </c>
    </row>
    <row r="142" customFormat="false" ht="15" hidden="false" customHeight="false" outlineLevel="0" collapsed="false">
      <c r="A142" s="2" t="s">
        <v>320</v>
      </c>
      <c r="B142" s="4" t="n">
        <v>45986</v>
      </c>
      <c r="C142" s="2" t="n">
        <v>24</v>
      </c>
      <c r="D142" s="2" t="s">
        <v>321</v>
      </c>
      <c r="E142" s="5" t="n">
        <v>64.99</v>
      </c>
      <c r="F142" s="5" t="n">
        <v>0</v>
      </c>
      <c r="G142" s="5" t="n">
        <v>1931.56</v>
      </c>
      <c r="H142" s="7" t="s">
        <v>105</v>
      </c>
      <c r="I142" s="7" t="s">
        <v>37</v>
      </c>
      <c r="J142" s="6" t="n">
        <v>0.3</v>
      </c>
      <c r="K142" s="2" t="s">
        <v>29</v>
      </c>
      <c r="L142" s="5" t="n">
        <f aca="false">IF($K142="Y",ROUND($E142/11,2),0)</f>
        <v>0</v>
      </c>
      <c r="M142" s="2"/>
      <c r="N142" s="2" t="s">
        <v>28</v>
      </c>
      <c r="O142" s="2" t="s">
        <v>237</v>
      </c>
    </row>
    <row r="143" customFormat="false" ht="15" hidden="false" customHeight="false" outlineLevel="0" collapsed="false">
      <c r="A143" s="2" t="s">
        <v>322</v>
      </c>
      <c r="B143" s="4" t="n">
        <v>45987</v>
      </c>
      <c r="C143" s="2" t="n">
        <v>24</v>
      </c>
      <c r="D143" s="2" t="s">
        <v>323</v>
      </c>
      <c r="E143" s="5" t="n">
        <v>18.76</v>
      </c>
      <c r="F143" s="5" t="n">
        <v>0</v>
      </c>
      <c r="G143" s="5" t="n">
        <v>1912.8</v>
      </c>
      <c r="H143" s="7" t="s">
        <v>105</v>
      </c>
      <c r="I143" s="7" t="s">
        <v>37</v>
      </c>
      <c r="J143" s="6" t="n">
        <v>0.3</v>
      </c>
      <c r="K143" s="2" t="s">
        <v>29</v>
      </c>
      <c r="L143" s="5" t="n">
        <f aca="false">IF($K143="Y",ROUND($E143/11,2),0)</f>
        <v>0</v>
      </c>
      <c r="M143" s="2"/>
      <c r="N143" s="2" t="s">
        <v>28</v>
      </c>
      <c r="O143" s="2" t="s">
        <v>237</v>
      </c>
    </row>
    <row r="144" customFormat="false" ht="15" hidden="false" customHeight="false" outlineLevel="0" collapsed="false">
      <c r="A144" s="2" t="s">
        <v>324</v>
      </c>
      <c r="B144" s="4" t="n">
        <v>45987</v>
      </c>
      <c r="C144" s="2" t="n">
        <v>24</v>
      </c>
      <c r="D144" s="2" t="s">
        <v>293</v>
      </c>
      <c r="E144" s="5" t="n">
        <v>27.86</v>
      </c>
      <c r="F144" s="5" t="n">
        <v>0</v>
      </c>
      <c r="G144" s="5" t="n">
        <v>1884.94</v>
      </c>
      <c r="H144" s="7" t="s">
        <v>294</v>
      </c>
      <c r="I144" s="7" t="s">
        <v>37</v>
      </c>
      <c r="J144" s="6" t="n">
        <v>0.5</v>
      </c>
      <c r="K144" s="2" t="s">
        <v>29</v>
      </c>
      <c r="L144" s="5" t="n">
        <f aca="false">IF($K144="Y",ROUND($E144/11,2),0)</f>
        <v>0</v>
      </c>
      <c r="M144" s="2"/>
      <c r="N144" s="2" t="s">
        <v>28</v>
      </c>
      <c r="O144" s="2" t="s">
        <v>237</v>
      </c>
    </row>
    <row r="145" customFormat="false" ht="15" hidden="false" customHeight="false" outlineLevel="0" collapsed="false">
      <c r="A145" s="2" t="s">
        <v>325</v>
      </c>
      <c r="B145" s="4" t="n">
        <v>45987</v>
      </c>
      <c r="C145" s="2" t="n">
        <v>24</v>
      </c>
      <c r="D145" s="2" t="s">
        <v>326</v>
      </c>
      <c r="E145" s="5" t="n">
        <v>90.27</v>
      </c>
      <c r="F145" s="5" t="n">
        <v>0</v>
      </c>
      <c r="G145" s="5" t="n">
        <v>1794.67</v>
      </c>
      <c r="H145" s="7" t="s">
        <v>105</v>
      </c>
      <c r="I145" s="7" t="s">
        <v>37</v>
      </c>
      <c r="J145" s="6" t="n">
        <v>0.3</v>
      </c>
      <c r="K145" s="2" t="s">
        <v>29</v>
      </c>
      <c r="L145" s="5" t="n">
        <f aca="false">IF($K145="Y",ROUND($E145/11,2),0)</f>
        <v>0</v>
      </c>
      <c r="M145" s="2"/>
      <c r="N145" s="2" t="s">
        <v>28</v>
      </c>
      <c r="O145" s="2" t="s">
        <v>237</v>
      </c>
    </row>
    <row r="146" customFormat="false" ht="15" hidden="false" customHeight="false" outlineLevel="0" collapsed="false">
      <c r="A146" s="2" t="s">
        <v>327</v>
      </c>
      <c r="B146" s="4" t="n">
        <v>45988</v>
      </c>
      <c r="C146" s="2" t="n">
        <v>24</v>
      </c>
      <c r="D146" s="2" t="s">
        <v>323</v>
      </c>
      <c r="E146" s="5" t="n">
        <v>9.13</v>
      </c>
      <c r="F146" s="5" t="n">
        <v>0</v>
      </c>
      <c r="G146" s="5" t="n">
        <v>1785.54</v>
      </c>
      <c r="H146" s="7" t="s">
        <v>105</v>
      </c>
      <c r="I146" s="7" t="s">
        <v>37</v>
      </c>
      <c r="J146" s="6" t="n">
        <v>0.3</v>
      </c>
      <c r="K146" s="2" t="s">
        <v>29</v>
      </c>
      <c r="L146" s="5" t="n">
        <f aca="false">IF($K146="Y",ROUND($E146/11,2),0)</f>
        <v>0</v>
      </c>
      <c r="M146" s="2"/>
      <c r="N146" s="2" t="s">
        <v>28</v>
      </c>
      <c r="O146" s="2" t="s">
        <v>237</v>
      </c>
    </row>
    <row r="147" customFormat="false" ht="15" hidden="false" customHeight="false" outlineLevel="0" collapsed="false">
      <c r="A147" s="2" t="s">
        <v>328</v>
      </c>
      <c r="B147" s="4" t="n">
        <v>45988</v>
      </c>
      <c r="C147" s="2" t="n">
        <v>24</v>
      </c>
      <c r="D147" s="2" t="s">
        <v>329</v>
      </c>
      <c r="E147" s="5" t="n">
        <v>36.43</v>
      </c>
      <c r="F147" s="5" t="n">
        <v>0</v>
      </c>
      <c r="G147" s="5" t="n">
        <v>1749.11</v>
      </c>
      <c r="H147" s="2" t="s">
        <v>33</v>
      </c>
      <c r="I147" s="2" t="s">
        <v>27</v>
      </c>
      <c r="J147" s="6" t="n">
        <v>0.8</v>
      </c>
      <c r="K147" s="2" t="s">
        <v>28</v>
      </c>
      <c r="L147" s="5" t="n">
        <f aca="false">IF($K147="Y",ROUND($E147/11,2),0)</f>
        <v>3.31</v>
      </c>
      <c r="M147" s="2"/>
      <c r="N147" s="2" t="s">
        <v>29</v>
      </c>
      <c r="O147" s="2" t="s">
        <v>237</v>
      </c>
    </row>
    <row r="148" customFormat="false" ht="15" hidden="false" customHeight="false" outlineLevel="0" collapsed="false">
      <c r="A148" s="2" t="s">
        <v>330</v>
      </c>
      <c r="B148" s="4" t="n">
        <v>45989</v>
      </c>
      <c r="C148" s="2" t="n">
        <v>24</v>
      </c>
      <c r="D148" s="2" t="s">
        <v>331</v>
      </c>
      <c r="E148" s="5" t="n">
        <v>2.66</v>
      </c>
      <c r="F148" s="5" t="n">
        <v>0</v>
      </c>
      <c r="G148" s="5" t="n">
        <v>1746.45</v>
      </c>
      <c r="H148" s="7" t="s">
        <v>294</v>
      </c>
      <c r="I148" s="7" t="s">
        <v>37</v>
      </c>
      <c r="J148" s="6" t="n">
        <v>0.5</v>
      </c>
      <c r="K148" s="2" t="s">
        <v>29</v>
      </c>
      <c r="L148" s="5" t="n">
        <f aca="false">IF($K148="Y",ROUND($E148/11,2),0)</f>
        <v>0</v>
      </c>
      <c r="M148" s="2"/>
      <c r="N148" s="2" t="s">
        <v>28</v>
      </c>
      <c r="O148" s="2" t="s">
        <v>237</v>
      </c>
    </row>
    <row r="149" customFormat="false" ht="15" hidden="false" customHeight="false" outlineLevel="0" collapsed="false">
      <c r="A149" s="2" t="s">
        <v>332</v>
      </c>
      <c r="B149" s="4" t="n">
        <v>45989</v>
      </c>
      <c r="C149" s="2" t="n">
        <v>24</v>
      </c>
      <c r="D149" s="2" t="s">
        <v>333</v>
      </c>
      <c r="E149" s="5" t="n">
        <v>6.55</v>
      </c>
      <c r="F149" s="5" t="n">
        <v>0</v>
      </c>
      <c r="G149" s="5" t="n">
        <v>1739.9</v>
      </c>
      <c r="H149" s="7" t="s">
        <v>105</v>
      </c>
      <c r="I149" s="7" t="s">
        <v>37</v>
      </c>
      <c r="J149" s="6" t="n">
        <v>0.3</v>
      </c>
      <c r="K149" s="2" t="s">
        <v>29</v>
      </c>
      <c r="L149" s="5" t="n">
        <f aca="false">IF($K149="Y",ROUND($E149/11,2),0)</f>
        <v>0</v>
      </c>
      <c r="M149" s="2"/>
      <c r="N149" s="2" t="s">
        <v>28</v>
      </c>
      <c r="O149" s="2" t="s">
        <v>237</v>
      </c>
    </row>
    <row r="150" customFormat="false" ht="15" hidden="false" customHeight="false" outlineLevel="0" collapsed="false">
      <c r="A150" s="2" t="s">
        <v>334</v>
      </c>
      <c r="B150" s="4" t="n">
        <v>45989</v>
      </c>
      <c r="C150" s="2" t="n">
        <v>24</v>
      </c>
      <c r="D150" s="2" t="s">
        <v>293</v>
      </c>
      <c r="E150" s="5" t="n">
        <v>22.67</v>
      </c>
      <c r="F150" s="5" t="n">
        <v>0</v>
      </c>
      <c r="G150" s="5" t="n">
        <v>1717.23</v>
      </c>
      <c r="H150" s="7" t="s">
        <v>294</v>
      </c>
      <c r="I150" s="7" t="s">
        <v>37</v>
      </c>
      <c r="J150" s="6" t="n">
        <v>0.5</v>
      </c>
      <c r="K150" s="2" t="s">
        <v>29</v>
      </c>
      <c r="L150" s="5" t="n">
        <f aca="false">IF($K150="Y",ROUND($E150/11,2),0)</f>
        <v>0</v>
      </c>
      <c r="M150" s="2"/>
      <c r="N150" s="2" t="s">
        <v>28</v>
      </c>
      <c r="O150" s="2" t="s">
        <v>237</v>
      </c>
    </row>
    <row r="151" customFormat="false" ht="15" hidden="false" customHeight="false" outlineLevel="0" collapsed="false">
      <c r="A151" s="2" t="s">
        <v>335</v>
      </c>
      <c r="B151" s="4" t="n">
        <v>45992</v>
      </c>
      <c r="C151" s="2" t="n">
        <v>24</v>
      </c>
      <c r="D151" s="2" t="s">
        <v>336</v>
      </c>
      <c r="E151" s="5" t="n">
        <v>0</v>
      </c>
      <c r="F151" s="5" t="n">
        <v>2400.02</v>
      </c>
      <c r="G151" s="5" t="n">
        <v>4117.25</v>
      </c>
      <c r="H151" s="7" t="s">
        <v>51</v>
      </c>
      <c r="I151" s="7" t="s">
        <v>27</v>
      </c>
      <c r="J151" s="6" t="n">
        <v>0.55</v>
      </c>
      <c r="K151" s="2" t="s">
        <v>29</v>
      </c>
      <c r="L151" s="5" t="n">
        <f aca="false">IF($K151="Y",ROUND($E151/11,2),0)</f>
        <v>0</v>
      </c>
      <c r="M151" s="2"/>
      <c r="N151" s="2" t="s">
        <v>28</v>
      </c>
      <c r="O151" s="2" t="s">
        <v>337</v>
      </c>
    </row>
    <row r="152" customFormat="false" ht="15" hidden="false" customHeight="false" outlineLevel="0" collapsed="false">
      <c r="A152" s="2" t="s">
        <v>338</v>
      </c>
      <c r="B152" s="4" t="n">
        <v>45992</v>
      </c>
      <c r="C152" s="2" t="n">
        <v>24</v>
      </c>
      <c r="D152" s="2" t="s">
        <v>339</v>
      </c>
      <c r="E152" s="5" t="n">
        <v>4.4</v>
      </c>
      <c r="F152" s="5" t="n">
        <v>0</v>
      </c>
      <c r="G152" s="5" t="n">
        <v>4112.85</v>
      </c>
      <c r="H152" s="7" t="s">
        <v>105</v>
      </c>
      <c r="I152" s="7" t="s">
        <v>37</v>
      </c>
      <c r="J152" s="6" t="n">
        <v>0.3</v>
      </c>
      <c r="K152" s="2" t="s">
        <v>29</v>
      </c>
      <c r="L152" s="5" t="n">
        <f aca="false">IF($K152="Y",ROUND($E152/11,2),0)</f>
        <v>0</v>
      </c>
      <c r="M152" s="2"/>
      <c r="N152" s="2" t="s">
        <v>28</v>
      </c>
      <c r="O152" s="2" t="s">
        <v>337</v>
      </c>
    </row>
    <row r="153" customFormat="false" ht="15" hidden="false" customHeight="false" outlineLevel="0" collapsed="false">
      <c r="A153" s="2" t="s">
        <v>340</v>
      </c>
      <c r="B153" s="4" t="n">
        <v>45992</v>
      </c>
      <c r="C153" s="2" t="n">
        <v>24</v>
      </c>
      <c r="D153" s="2" t="s">
        <v>323</v>
      </c>
      <c r="E153" s="5" t="n">
        <v>6.09</v>
      </c>
      <c r="F153" s="5" t="n">
        <v>0</v>
      </c>
      <c r="G153" s="5" t="n">
        <v>4106.76</v>
      </c>
      <c r="H153" s="7" t="s">
        <v>105</v>
      </c>
      <c r="I153" s="7" t="s">
        <v>37</v>
      </c>
      <c r="J153" s="6" t="n">
        <v>0.3</v>
      </c>
      <c r="K153" s="2" t="s">
        <v>29</v>
      </c>
      <c r="L153" s="5" t="n">
        <f aca="false">IF($K153="Y",ROUND($E153/11,2),0)</f>
        <v>0</v>
      </c>
      <c r="M153" s="2"/>
      <c r="N153" s="2" t="s">
        <v>28</v>
      </c>
      <c r="O153" s="2" t="s">
        <v>337</v>
      </c>
    </row>
    <row r="154" customFormat="false" ht="15" hidden="false" customHeight="false" outlineLevel="0" collapsed="false">
      <c r="A154" s="2" t="s">
        <v>341</v>
      </c>
      <c r="B154" s="4" t="n">
        <v>45992</v>
      </c>
      <c r="C154" s="2" t="n">
        <v>24</v>
      </c>
      <c r="D154" s="2" t="s">
        <v>342</v>
      </c>
      <c r="E154" s="5" t="n">
        <v>6.32</v>
      </c>
      <c r="F154" s="5" t="n">
        <v>0</v>
      </c>
      <c r="G154" s="5" t="n">
        <v>4100.44</v>
      </c>
      <c r="H154" s="7" t="s">
        <v>105</v>
      </c>
      <c r="I154" s="7" t="s">
        <v>37</v>
      </c>
      <c r="J154" s="6" t="n">
        <v>0.3</v>
      </c>
      <c r="K154" s="2" t="s">
        <v>29</v>
      </c>
      <c r="L154" s="5" t="n">
        <f aca="false">IF($K154="Y",ROUND($E154/11,2),0)</f>
        <v>0</v>
      </c>
      <c r="M154" s="2"/>
      <c r="N154" s="2" t="s">
        <v>28</v>
      </c>
      <c r="O154" s="2" t="s">
        <v>337</v>
      </c>
    </row>
    <row r="155" customFormat="false" ht="15" hidden="false" customHeight="false" outlineLevel="0" collapsed="false">
      <c r="A155" s="2" t="s">
        <v>343</v>
      </c>
      <c r="B155" s="4" t="n">
        <v>45992</v>
      </c>
      <c r="C155" s="2" t="n">
        <v>24</v>
      </c>
      <c r="D155" s="2" t="s">
        <v>293</v>
      </c>
      <c r="E155" s="5" t="n">
        <v>14.25</v>
      </c>
      <c r="F155" s="5" t="n">
        <v>0</v>
      </c>
      <c r="G155" s="5" t="n">
        <v>4086.19</v>
      </c>
      <c r="H155" s="7" t="s">
        <v>294</v>
      </c>
      <c r="I155" s="7" t="s">
        <v>37</v>
      </c>
      <c r="J155" s="6" t="n">
        <v>0.5</v>
      </c>
      <c r="K155" s="2" t="s">
        <v>29</v>
      </c>
      <c r="L155" s="5" t="n">
        <f aca="false">IF($K155="Y",ROUND($E155/11,2),0)</f>
        <v>0</v>
      </c>
      <c r="M155" s="2"/>
      <c r="N155" s="2" t="s">
        <v>28</v>
      </c>
      <c r="O155" s="2" t="s">
        <v>337</v>
      </c>
    </row>
    <row r="156" customFormat="false" ht="15" hidden="false" customHeight="false" outlineLevel="0" collapsed="false">
      <c r="A156" s="2" t="s">
        <v>344</v>
      </c>
      <c r="B156" s="4" t="n">
        <v>45992</v>
      </c>
      <c r="C156" s="2" t="n">
        <v>24</v>
      </c>
      <c r="D156" s="2" t="s">
        <v>345</v>
      </c>
      <c r="E156" s="5" t="n">
        <v>18.5</v>
      </c>
      <c r="F156" s="5" t="n">
        <v>0</v>
      </c>
      <c r="G156" s="5" t="n">
        <v>4067.69</v>
      </c>
      <c r="H156" s="2" t="s">
        <v>26</v>
      </c>
      <c r="I156" s="2" t="s">
        <v>27</v>
      </c>
      <c r="J156" s="6" t="n">
        <v>0.7</v>
      </c>
      <c r="K156" s="2" t="s">
        <v>28</v>
      </c>
      <c r="L156" s="5" t="n">
        <f aca="false">IF($K156="Y",ROUND($E156/11,2),0)</f>
        <v>1.68</v>
      </c>
      <c r="M156" s="2"/>
      <c r="N156" s="2" t="s">
        <v>29</v>
      </c>
      <c r="O156" s="2" t="s">
        <v>337</v>
      </c>
    </row>
    <row r="157" customFormat="false" ht="15" hidden="false" customHeight="false" outlineLevel="0" collapsed="false">
      <c r="A157" s="2" t="s">
        <v>346</v>
      </c>
      <c r="B157" s="4" t="n">
        <v>45992</v>
      </c>
      <c r="C157" s="2" t="n">
        <v>24</v>
      </c>
      <c r="D157" s="2" t="s">
        <v>293</v>
      </c>
      <c r="E157" s="5" t="n">
        <v>19.85</v>
      </c>
      <c r="F157" s="5" t="n">
        <v>0</v>
      </c>
      <c r="G157" s="5" t="n">
        <v>4047.84</v>
      </c>
      <c r="H157" s="7" t="s">
        <v>294</v>
      </c>
      <c r="I157" s="7" t="s">
        <v>37</v>
      </c>
      <c r="J157" s="6" t="n">
        <v>0.5</v>
      </c>
      <c r="K157" s="2" t="s">
        <v>29</v>
      </c>
      <c r="L157" s="5" t="n">
        <f aca="false">IF($K157="Y",ROUND($E157/11,2),0)</f>
        <v>0</v>
      </c>
      <c r="M157" s="2"/>
      <c r="N157" s="2" t="s">
        <v>28</v>
      </c>
      <c r="O157" s="2" t="s">
        <v>337</v>
      </c>
    </row>
    <row r="158" customFormat="false" ht="15" hidden="false" customHeight="false" outlineLevel="0" collapsed="false">
      <c r="A158" s="2" t="s">
        <v>347</v>
      </c>
      <c r="B158" s="4" t="n">
        <v>45992</v>
      </c>
      <c r="C158" s="2" t="n">
        <v>24</v>
      </c>
      <c r="D158" s="2" t="s">
        <v>348</v>
      </c>
      <c r="E158" s="5" t="n">
        <v>36.56</v>
      </c>
      <c r="F158" s="5" t="n">
        <v>0</v>
      </c>
      <c r="G158" s="5" t="n">
        <v>4011.28</v>
      </c>
      <c r="H158" s="7" t="s">
        <v>105</v>
      </c>
      <c r="I158" s="7" t="s">
        <v>37</v>
      </c>
      <c r="J158" s="6" t="n">
        <v>0.3</v>
      </c>
      <c r="K158" s="2" t="s">
        <v>29</v>
      </c>
      <c r="L158" s="5" t="n">
        <f aca="false">IF($K158="Y",ROUND($E158/11,2),0)</f>
        <v>0</v>
      </c>
      <c r="M158" s="2"/>
      <c r="N158" s="2" t="s">
        <v>28</v>
      </c>
      <c r="O158" s="2" t="s">
        <v>337</v>
      </c>
    </row>
    <row r="159" customFormat="false" ht="15" hidden="false" customHeight="false" outlineLevel="0" collapsed="false">
      <c r="A159" s="2" t="s">
        <v>349</v>
      </c>
      <c r="B159" s="4" t="n">
        <v>45992</v>
      </c>
      <c r="C159" s="2" t="n">
        <v>24</v>
      </c>
      <c r="D159" s="2" t="s">
        <v>350</v>
      </c>
      <c r="E159" s="5" t="n">
        <v>70</v>
      </c>
      <c r="F159" s="5" t="n">
        <v>0</v>
      </c>
      <c r="G159" s="5" t="n">
        <v>3941.28</v>
      </c>
      <c r="H159" s="7" t="s">
        <v>36</v>
      </c>
      <c r="I159" s="7" t="s">
        <v>37</v>
      </c>
      <c r="J159" s="6" t="n">
        <v>0.7</v>
      </c>
      <c r="K159" s="2" t="s">
        <v>29</v>
      </c>
      <c r="L159" s="5" t="n">
        <f aca="false">IF($K159="Y",ROUND($E159/11,2),0)</f>
        <v>0</v>
      </c>
      <c r="M159" s="2" t="s">
        <v>38</v>
      </c>
      <c r="N159" s="2" t="s">
        <v>28</v>
      </c>
      <c r="O159" s="2" t="s">
        <v>337</v>
      </c>
    </row>
    <row r="160" customFormat="false" ht="15" hidden="false" customHeight="false" outlineLevel="0" collapsed="false">
      <c r="A160" s="2" t="s">
        <v>351</v>
      </c>
      <c r="B160" s="4" t="n">
        <v>45992</v>
      </c>
      <c r="C160" s="2" t="n">
        <v>24</v>
      </c>
      <c r="D160" s="2" t="s">
        <v>352</v>
      </c>
      <c r="E160" s="5" t="n">
        <v>1000</v>
      </c>
      <c r="F160" s="5" t="n">
        <v>0</v>
      </c>
      <c r="G160" s="5" t="n">
        <v>2941.28</v>
      </c>
      <c r="H160" s="7" t="s">
        <v>36</v>
      </c>
      <c r="I160" s="7" t="s">
        <v>37</v>
      </c>
      <c r="J160" s="6" t="n">
        <v>0.7</v>
      </c>
      <c r="K160" s="2" t="s">
        <v>29</v>
      </c>
      <c r="L160" s="5" t="n">
        <f aca="false">IF($K160="Y",ROUND($E160/11,2),0)</f>
        <v>0</v>
      </c>
      <c r="M160" s="2" t="s">
        <v>38</v>
      </c>
      <c r="N160" s="2" t="s">
        <v>28</v>
      </c>
      <c r="O160" s="2" t="s">
        <v>337</v>
      </c>
    </row>
    <row r="161" customFormat="false" ht="15" hidden="false" customHeight="false" outlineLevel="0" collapsed="false">
      <c r="A161" s="2" t="s">
        <v>353</v>
      </c>
      <c r="B161" s="4" t="n">
        <v>45993</v>
      </c>
      <c r="C161" s="2" t="n">
        <v>24</v>
      </c>
      <c r="D161" s="2" t="s">
        <v>293</v>
      </c>
      <c r="E161" s="5" t="n">
        <v>0</v>
      </c>
      <c r="F161" s="5" t="n">
        <v>0.02</v>
      </c>
      <c r="G161" s="5" t="n">
        <v>2941.3</v>
      </c>
      <c r="H161" s="7" t="s">
        <v>51</v>
      </c>
      <c r="I161" s="7" t="s">
        <v>27</v>
      </c>
      <c r="J161" s="6" t="n">
        <v>0.55</v>
      </c>
      <c r="K161" s="2" t="s">
        <v>29</v>
      </c>
      <c r="L161" s="5" t="n">
        <f aca="false">IF($K161="Y",ROUND($E161/11,2),0)</f>
        <v>0</v>
      </c>
      <c r="M161" s="2"/>
      <c r="N161" s="2" t="s">
        <v>28</v>
      </c>
      <c r="O161" s="2" t="s">
        <v>337</v>
      </c>
    </row>
    <row r="162" customFormat="false" ht="15" hidden="false" customHeight="false" outlineLevel="0" collapsed="false">
      <c r="A162" s="2" t="s">
        <v>354</v>
      </c>
      <c r="B162" s="4" t="n">
        <v>45993</v>
      </c>
      <c r="C162" s="2" t="n">
        <v>24</v>
      </c>
      <c r="D162" s="2" t="s">
        <v>355</v>
      </c>
      <c r="E162" s="5" t="n">
        <v>13.95</v>
      </c>
      <c r="F162" s="5" t="n">
        <v>0</v>
      </c>
      <c r="G162" s="5" t="n">
        <v>2927.35</v>
      </c>
      <c r="H162" s="2" t="s">
        <v>33</v>
      </c>
      <c r="I162" s="2" t="s">
        <v>27</v>
      </c>
      <c r="J162" s="6" t="n">
        <v>0.8</v>
      </c>
      <c r="K162" s="2" t="s">
        <v>28</v>
      </c>
      <c r="L162" s="5" t="n">
        <f aca="false">IF($K162="Y",ROUND($E162/11,2),0)</f>
        <v>1.27</v>
      </c>
      <c r="M162" s="2"/>
      <c r="N162" s="2" t="s">
        <v>29</v>
      </c>
      <c r="O162" s="2" t="s">
        <v>337</v>
      </c>
    </row>
    <row r="163" customFormat="false" ht="15" hidden="false" customHeight="false" outlineLevel="0" collapsed="false">
      <c r="A163" s="2" t="s">
        <v>356</v>
      </c>
      <c r="B163" s="4" t="n">
        <v>45993</v>
      </c>
      <c r="C163" s="2" t="n">
        <v>24</v>
      </c>
      <c r="D163" s="2" t="s">
        <v>357</v>
      </c>
      <c r="E163" s="5" t="n">
        <v>17.13</v>
      </c>
      <c r="F163" s="5" t="n">
        <v>0</v>
      </c>
      <c r="G163" s="5" t="n">
        <v>2910.22</v>
      </c>
      <c r="H163" s="7" t="s">
        <v>294</v>
      </c>
      <c r="I163" s="7" t="s">
        <v>37</v>
      </c>
      <c r="J163" s="6" t="n">
        <v>0.5</v>
      </c>
      <c r="K163" s="2" t="s">
        <v>29</v>
      </c>
      <c r="L163" s="5" t="n">
        <f aca="false">IF($K163="Y",ROUND($E163/11,2),0)</f>
        <v>0</v>
      </c>
      <c r="M163" s="2"/>
      <c r="N163" s="2" t="s">
        <v>28</v>
      </c>
      <c r="O163" s="2" t="s">
        <v>337</v>
      </c>
    </row>
    <row r="164" customFormat="false" ht="15" hidden="false" customHeight="false" outlineLevel="0" collapsed="false">
      <c r="A164" s="2" t="s">
        <v>358</v>
      </c>
      <c r="B164" s="4" t="n">
        <v>45993</v>
      </c>
      <c r="C164" s="2" t="n">
        <v>24</v>
      </c>
      <c r="D164" s="2" t="s">
        <v>293</v>
      </c>
      <c r="E164" s="5" t="n">
        <v>17.81</v>
      </c>
      <c r="F164" s="5" t="n">
        <v>0</v>
      </c>
      <c r="G164" s="5" t="n">
        <v>2892.41</v>
      </c>
      <c r="H164" s="7" t="s">
        <v>294</v>
      </c>
      <c r="I164" s="7" t="s">
        <v>37</v>
      </c>
      <c r="J164" s="6" t="n">
        <v>0.5</v>
      </c>
      <c r="K164" s="2" t="s">
        <v>29</v>
      </c>
      <c r="L164" s="5" t="n">
        <f aca="false">IF($K164="Y",ROUND($E164/11,2),0)</f>
        <v>0</v>
      </c>
      <c r="M164" s="2"/>
      <c r="N164" s="2" t="s">
        <v>28</v>
      </c>
      <c r="O164" s="2" t="s">
        <v>337</v>
      </c>
    </row>
    <row r="165" customFormat="false" ht="15" hidden="false" customHeight="false" outlineLevel="0" collapsed="false">
      <c r="A165" s="2" t="s">
        <v>359</v>
      </c>
      <c r="B165" s="4" t="n">
        <v>45993</v>
      </c>
      <c r="C165" s="2" t="n">
        <v>24</v>
      </c>
      <c r="D165" s="2" t="s">
        <v>360</v>
      </c>
      <c r="E165" s="5" t="n">
        <v>20</v>
      </c>
      <c r="F165" s="5" t="n">
        <v>0</v>
      </c>
      <c r="G165" s="5" t="n">
        <v>2872.41</v>
      </c>
      <c r="H165" s="7" t="s">
        <v>36</v>
      </c>
      <c r="I165" s="7" t="s">
        <v>37</v>
      </c>
      <c r="J165" s="6" t="n">
        <v>0.7</v>
      </c>
      <c r="K165" s="2" t="s">
        <v>29</v>
      </c>
      <c r="L165" s="5" t="n">
        <f aca="false">IF($K165="Y",ROUND($E165/11,2),0)</f>
        <v>0</v>
      </c>
      <c r="M165" s="2" t="s">
        <v>38</v>
      </c>
      <c r="N165" s="2" t="s">
        <v>28</v>
      </c>
      <c r="O165" s="2" t="s">
        <v>337</v>
      </c>
    </row>
    <row r="166" customFormat="false" ht="15" hidden="false" customHeight="false" outlineLevel="0" collapsed="false">
      <c r="A166" s="2" t="s">
        <v>361</v>
      </c>
      <c r="B166" s="4" t="n">
        <v>45993</v>
      </c>
      <c r="C166" s="2" t="n">
        <v>24</v>
      </c>
      <c r="D166" s="2" t="s">
        <v>362</v>
      </c>
      <c r="E166" s="5" t="n">
        <v>79.53</v>
      </c>
      <c r="F166" s="5" t="n">
        <v>0</v>
      </c>
      <c r="G166" s="5" t="n">
        <v>2792.88</v>
      </c>
      <c r="H166" s="7" t="s">
        <v>308</v>
      </c>
      <c r="I166" s="7" t="s">
        <v>37</v>
      </c>
      <c r="J166" s="6" t="n">
        <v>0.6</v>
      </c>
      <c r="K166" s="2" t="s">
        <v>29</v>
      </c>
      <c r="L166" s="5" t="n">
        <f aca="false">IF($K166="Y",ROUND($E166/11,2),0)</f>
        <v>0</v>
      </c>
      <c r="M166" s="2"/>
      <c r="N166" s="2" t="s">
        <v>28</v>
      </c>
      <c r="O166" s="2" t="s">
        <v>337</v>
      </c>
    </row>
    <row r="167" customFormat="false" ht="15" hidden="false" customHeight="false" outlineLevel="0" collapsed="false">
      <c r="A167" s="2" t="s">
        <v>363</v>
      </c>
      <c r="B167" s="4" t="n">
        <v>45993</v>
      </c>
      <c r="C167" s="2" t="n">
        <v>24</v>
      </c>
      <c r="D167" s="2" t="s">
        <v>364</v>
      </c>
      <c r="E167" s="5" t="n">
        <v>100</v>
      </c>
      <c r="F167" s="5" t="n">
        <v>0</v>
      </c>
      <c r="G167" s="5" t="n">
        <v>2692.88</v>
      </c>
      <c r="H167" s="7" t="s">
        <v>242</v>
      </c>
      <c r="I167" s="7" t="s">
        <v>37</v>
      </c>
      <c r="J167" s="6" t="n">
        <v>0.8</v>
      </c>
      <c r="K167" s="2" t="s">
        <v>29</v>
      </c>
      <c r="L167" s="5" t="n">
        <f aca="false">IF($K167="Y",ROUND($E167/11,2),0)</f>
        <v>0</v>
      </c>
      <c r="M167" s="2"/>
      <c r="N167" s="2" t="s">
        <v>28</v>
      </c>
      <c r="O167" s="2" t="s">
        <v>337</v>
      </c>
    </row>
    <row r="168" customFormat="false" ht="15" hidden="false" customHeight="false" outlineLevel="0" collapsed="false">
      <c r="A168" s="2" t="s">
        <v>365</v>
      </c>
      <c r="B168" s="4" t="n">
        <v>45993</v>
      </c>
      <c r="C168" s="2" t="n">
        <v>24</v>
      </c>
      <c r="D168" s="2" t="s">
        <v>364</v>
      </c>
      <c r="E168" s="5" t="n">
        <v>1000</v>
      </c>
      <c r="F168" s="5" t="n">
        <v>0</v>
      </c>
      <c r="G168" s="5" t="n">
        <v>1692.88</v>
      </c>
      <c r="H168" s="7" t="s">
        <v>242</v>
      </c>
      <c r="I168" s="7" t="s">
        <v>37</v>
      </c>
      <c r="J168" s="6" t="n">
        <v>0.8</v>
      </c>
      <c r="K168" s="2" t="s">
        <v>29</v>
      </c>
      <c r="L168" s="5" t="n">
        <f aca="false">IF($K168="Y",ROUND($E168/11,2),0)</f>
        <v>0</v>
      </c>
      <c r="M168" s="2"/>
      <c r="N168" s="2" t="s">
        <v>28</v>
      </c>
      <c r="O168" s="2" t="s">
        <v>337</v>
      </c>
    </row>
    <row r="169" customFormat="false" ht="15" hidden="false" customHeight="false" outlineLevel="0" collapsed="false">
      <c r="A169" s="2" t="s">
        <v>366</v>
      </c>
      <c r="B169" s="4" t="n">
        <v>45994</v>
      </c>
      <c r="C169" s="2" t="n">
        <v>24</v>
      </c>
      <c r="D169" s="2" t="s">
        <v>345</v>
      </c>
      <c r="E169" s="5" t="n">
        <v>1.5</v>
      </c>
      <c r="F169" s="5" t="n">
        <v>0</v>
      </c>
      <c r="G169" s="5" t="n">
        <v>1691.38</v>
      </c>
      <c r="H169" s="2" t="s">
        <v>26</v>
      </c>
      <c r="I169" s="2" t="s">
        <v>27</v>
      </c>
      <c r="J169" s="6" t="n">
        <v>0.7</v>
      </c>
      <c r="K169" s="2" t="s">
        <v>28</v>
      </c>
      <c r="L169" s="5" t="n">
        <f aca="false">IF($K169="Y",ROUND($E169/11,2),0)</f>
        <v>0.14</v>
      </c>
      <c r="M169" s="2"/>
      <c r="N169" s="2" t="s">
        <v>29</v>
      </c>
      <c r="O169" s="2" t="s">
        <v>337</v>
      </c>
    </row>
    <row r="170" customFormat="false" ht="15" hidden="false" customHeight="false" outlineLevel="0" collapsed="false">
      <c r="A170" s="2" t="s">
        <v>367</v>
      </c>
      <c r="B170" s="4" t="n">
        <v>45994</v>
      </c>
      <c r="C170" s="2" t="n">
        <v>24</v>
      </c>
      <c r="D170" s="2" t="s">
        <v>368</v>
      </c>
      <c r="E170" s="5" t="n">
        <v>70</v>
      </c>
      <c r="F170" s="5" t="n">
        <v>0</v>
      </c>
      <c r="G170" s="5" t="n">
        <v>1621.38</v>
      </c>
      <c r="H170" s="7" t="s">
        <v>105</v>
      </c>
      <c r="I170" s="7" t="s">
        <v>37</v>
      </c>
      <c r="J170" s="6" t="n">
        <v>0.3</v>
      </c>
      <c r="K170" s="2" t="s">
        <v>29</v>
      </c>
      <c r="L170" s="5" t="n">
        <f aca="false">IF($K170="Y",ROUND($E170/11,2),0)</f>
        <v>0</v>
      </c>
      <c r="M170" s="2"/>
      <c r="N170" s="2" t="s">
        <v>28</v>
      </c>
      <c r="O170" s="2" t="s">
        <v>337</v>
      </c>
    </row>
    <row r="171" customFormat="false" ht="15" hidden="false" customHeight="false" outlineLevel="0" collapsed="false">
      <c r="A171" s="2" t="s">
        <v>369</v>
      </c>
      <c r="B171" s="4" t="n">
        <v>45995</v>
      </c>
      <c r="C171" s="2" t="n">
        <v>24</v>
      </c>
      <c r="D171" s="2" t="s">
        <v>323</v>
      </c>
      <c r="E171" s="5" t="n">
        <v>10.14</v>
      </c>
      <c r="F171" s="5" t="n">
        <v>0</v>
      </c>
      <c r="G171" s="5" t="n">
        <v>1611.24</v>
      </c>
      <c r="H171" s="7" t="s">
        <v>105</v>
      </c>
      <c r="I171" s="7" t="s">
        <v>37</v>
      </c>
      <c r="J171" s="6" t="n">
        <v>0.3</v>
      </c>
      <c r="K171" s="2" t="s">
        <v>29</v>
      </c>
      <c r="L171" s="5" t="n">
        <f aca="false">IF($K171="Y",ROUND($E171/11,2),0)</f>
        <v>0</v>
      </c>
      <c r="M171" s="2"/>
      <c r="N171" s="2" t="s">
        <v>28</v>
      </c>
      <c r="O171" s="2" t="s">
        <v>337</v>
      </c>
    </row>
    <row r="172" customFormat="false" ht="15" hidden="false" customHeight="false" outlineLevel="0" collapsed="false">
      <c r="A172" s="2" t="s">
        <v>370</v>
      </c>
      <c r="B172" s="4" t="n">
        <v>45995</v>
      </c>
      <c r="C172" s="2" t="n">
        <v>24</v>
      </c>
      <c r="D172" s="2" t="s">
        <v>293</v>
      </c>
      <c r="E172" s="5" t="n">
        <v>25.81</v>
      </c>
      <c r="F172" s="5" t="n">
        <v>0</v>
      </c>
      <c r="G172" s="5" t="n">
        <v>1585.43</v>
      </c>
      <c r="H172" s="7" t="s">
        <v>294</v>
      </c>
      <c r="I172" s="7" t="s">
        <v>37</v>
      </c>
      <c r="J172" s="6" t="n">
        <v>0.5</v>
      </c>
      <c r="K172" s="2" t="s">
        <v>29</v>
      </c>
      <c r="L172" s="5" t="n">
        <f aca="false">IF($K172="Y",ROUND($E172/11,2),0)</f>
        <v>0</v>
      </c>
      <c r="M172" s="2"/>
      <c r="N172" s="2" t="s">
        <v>28</v>
      </c>
      <c r="O172" s="2" t="s">
        <v>337</v>
      </c>
    </row>
    <row r="173" customFormat="false" ht="15" hidden="false" customHeight="false" outlineLevel="0" collapsed="false">
      <c r="A173" s="2" t="s">
        <v>371</v>
      </c>
      <c r="B173" s="4" t="n">
        <v>45995</v>
      </c>
      <c r="C173" s="2" t="n">
        <v>24</v>
      </c>
      <c r="D173" s="2" t="s">
        <v>372</v>
      </c>
      <c r="E173" s="5" t="n">
        <v>90.37</v>
      </c>
      <c r="F173" s="5" t="n">
        <v>0</v>
      </c>
      <c r="G173" s="5" t="n">
        <v>1495.06</v>
      </c>
      <c r="H173" s="2" t="s">
        <v>26</v>
      </c>
      <c r="I173" s="2" t="s">
        <v>27</v>
      </c>
      <c r="J173" s="6" t="n">
        <v>0.7</v>
      </c>
      <c r="K173" s="2" t="s">
        <v>28</v>
      </c>
      <c r="L173" s="5" t="n">
        <f aca="false">IF($K173="Y",ROUND($E173/11,2),0)</f>
        <v>8.22</v>
      </c>
      <c r="M173" s="2"/>
      <c r="N173" s="2" t="s">
        <v>29</v>
      </c>
      <c r="O173" s="2" t="s">
        <v>337</v>
      </c>
    </row>
    <row r="174" customFormat="false" ht="15" hidden="false" customHeight="false" outlineLevel="0" collapsed="false">
      <c r="A174" s="2" t="s">
        <v>373</v>
      </c>
      <c r="B174" s="4" t="n">
        <v>45995</v>
      </c>
      <c r="C174" s="2" t="n">
        <v>24</v>
      </c>
      <c r="D174" s="2" t="s">
        <v>374</v>
      </c>
      <c r="E174" s="5" t="n">
        <v>400</v>
      </c>
      <c r="F174" s="5" t="n">
        <v>0</v>
      </c>
      <c r="G174" s="5" t="n">
        <v>1095.06</v>
      </c>
      <c r="H174" s="7" t="s">
        <v>36</v>
      </c>
      <c r="I174" s="7" t="s">
        <v>37</v>
      </c>
      <c r="J174" s="6" t="n">
        <v>0.7</v>
      </c>
      <c r="K174" s="2" t="s">
        <v>29</v>
      </c>
      <c r="L174" s="5" t="n">
        <f aca="false">IF($K174="Y",ROUND($E174/11,2),0)</f>
        <v>0</v>
      </c>
      <c r="M174" s="2" t="s">
        <v>38</v>
      </c>
      <c r="N174" s="2" t="s">
        <v>28</v>
      </c>
      <c r="O174" s="2" t="s">
        <v>337</v>
      </c>
    </row>
    <row r="175" customFormat="false" ht="15" hidden="false" customHeight="false" outlineLevel="0" collapsed="false">
      <c r="A175" s="2" t="s">
        <v>375</v>
      </c>
      <c r="B175" s="4" t="n">
        <v>45996</v>
      </c>
      <c r="C175" s="2" t="n">
        <v>24</v>
      </c>
      <c r="D175" s="2" t="s">
        <v>376</v>
      </c>
      <c r="E175" s="5" t="n">
        <v>0</v>
      </c>
      <c r="F175" s="5" t="n">
        <v>2000</v>
      </c>
      <c r="G175" s="5" t="n">
        <v>3095.06</v>
      </c>
      <c r="H175" s="7" t="s">
        <v>51</v>
      </c>
      <c r="I175" s="7" t="s">
        <v>27</v>
      </c>
      <c r="J175" s="6" t="n">
        <v>0.55</v>
      </c>
      <c r="K175" s="2" t="s">
        <v>29</v>
      </c>
      <c r="L175" s="5" t="n">
        <f aca="false">IF($K175="Y",ROUND($E175/11,2),0)</f>
        <v>0</v>
      </c>
      <c r="M175" s="2"/>
      <c r="N175" s="2" t="s">
        <v>28</v>
      </c>
      <c r="O175" s="2" t="s">
        <v>337</v>
      </c>
    </row>
    <row r="176" customFormat="false" ht="15" hidden="false" customHeight="false" outlineLevel="0" collapsed="false">
      <c r="A176" s="2" t="s">
        <v>377</v>
      </c>
      <c r="B176" s="4" t="n">
        <v>45996</v>
      </c>
      <c r="C176" s="2" t="n">
        <v>24</v>
      </c>
      <c r="D176" s="2" t="s">
        <v>378</v>
      </c>
      <c r="E176" s="5" t="n">
        <v>4.58</v>
      </c>
      <c r="F176" s="5" t="n">
        <v>0</v>
      </c>
      <c r="G176" s="5" t="n">
        <v>3090.48</v>
      </c>
      <c r="H176" s="7" t="s">
        <v>105</v>
      </c>
      <c r="I176" s="7" t="s">
        <v>37</v>
      </c>
      <c r="J176" s="6" t="n">
        <v>0.3</v>
      </c>
      <c r="K176" s="2" t="s">
        <v>29</v>
      </c>
      <c r="L176" s="5" t="n">
        <f aca="false">IF($K176="Y",ROUND($E176/11,2),0)</f>
        <v>0</v>
      </c>
      <c r="M176" s="2"/>
      <c r="N176" s="2" t="s">
        <v>28</v>
      </c>
      <c r="O176" s="2" t="s">
        <v>337</v>
      </c>
    </row>
    <row r="177" customFormat="false" ht="15" hidden="false" customHeight="false" outlineLevel="0" collapsed="false">
      <c r="A177" s="2" t="s">
        <v>379</v>
      </c>
      <c r="B177" s="4" t="n">
        <v>45996</v>
      </c>
      <c r="C177" s="2" t="n">
        <v>24</v>
      </c>
      <c r="D177" s="2" t="s">
        <v>345</v>
      </c>
      <c r="E177" s="5" t="n">
        <v>11</v>
      </c>
      <c r="F177" s="5" t="n">
        <v>0</v>
      </c>
      <c r="G177" s="5" t="n">
        <v>3079.48</v>
      </c>
      <c r="H177" s="2" t="s">
        <v>26</v>
      </c>
      <c r="I177" s="2" t="s">
        <v>27</v>
      </c>
      <c r="J177" s="6" t="n">
        <v>0.7</v>
      </c>
      <c r="K177" s="2" t="s">
        <v>28</v>
      </c>
      <c r="L177" s="5" t="n">
        <f aca="false">IF($K177="Y",ROUND($E177/11,2),0)</f>
        <v>1</v>
      </c>
      <c r="M177" s="2"/>
      <c r="N177" s="2" t="s">
        <v>29</v>
      </c>
      <c r="O177" s="2" t="s">
        <v>337</v>
      </c>
    </row>
    <row r="178" customFormat="false" ht="15" hidden="false" customHeight="false" outlineLevel="0" collapsed="false">
      <c r="A178" s="2" t="s">
        <v>380</v>
      </c>
      <c r="B178" s="4" t="n">
        <v>45996</v>
      </c>
      <c r="C178" s="2" t="n">
        <v>24</v>
      </c>
      <c r="D178" s="2" t="s">
        <v>381</v>
      </c>
      <c r="E178" s="5" t="n">
        <v>81.44</v>
      </c>
      <c r="F178" s="5" t="n">
        <v>0</v>
      </c>
      <c r="G178" s="5" t="n">
        <v>2998.04</v>
      </c>
      <c r="H178" s="2" t="s">
        <v>33</v>
      </c>
      <c r="I178" s="2" t="s">
        <v>27</v>
      </c>
      <c r="J178" s="6" t="n">
        <v>0.8</v>
      </c>
      <c r="K178" s="2" t="s">
        <v>28</v>
      </c>
      <c r="L178" s="5" t="n">
        <f aca="false">IF($K178="Y",ROUND($E178/11,2),0)</f>
        <v>7.4</v>
      </c>
      <c r="M178" s="2"/>
      <c r="N178" s="2" t="s">
        <v>29</v>
      </c>
      <c r="O178" s="2" t="s">
        <v>337</v>
      </c>
    </row>
    <row r="179" customFormat="false" ht="15" hidden="false" customHeight="false" outlineLevel="0" collapsed="false">
      <c r="A179" s="2" t="s">
        <v>382</v>
      </c>
      <c r="B179" s="4" t="n">
        <v>45999</v>
      </c>
      <c r="C179" s="2" t="n">
        <v>24</v>
      </c>
      <c r="D179" s="2" t="s">
        <v>293</v>
      </c>
      <c r="E179" s="5" t="n">
        <v>0</v>
      </c>
      <c r="F179" s="5" t="n">
        <v>0.02</v>
      </c>
      <c r="G179" s="5" t="n">
        <v>2998.06</v>
      </c>
      <c r="H179" s="7" t="s">
        <v>51</v>
      </c>
      <c r="I179" s="7" t="s">
        <v>27</v>
      </c>
      <c r="J179" s="6" t="n">
        <v>0.55</v>
      </c>
      <c r="K179" s="2" t="s">
        <v>29</v>
      </c>
      <c r="L179" s="5" t="n">
        <f aca="false">IF($K179="Y",ROUND($E179/11,2),0)</f>
        <v>0</v>
      </c>
      <c r="M179" s="2"/>
      <c r="N179" s="2" t="s">
        <v>28</v>
      </c>
      <c r="O179" s="2" t="s">
        <v>337</v>
      </c>
    </row>
    <row r="180" customFormat="false" ht="15" hidden="false" customHeight="false" outlineLevel="0" collapsed="false">
      <c r="A180" s="2" t="s">
        <v>383</v>
      </c>
      <c r="B180" s="4" t="n">
        <v>45999</v>
      </c>
      <c r="C180" s="2" t="n">
        <v>24</v>
      </c>
      <c r="D180" s="2" t="s">
        <v>323</v>
      </c>
      <c r="E180" s="5" t="n">
        <v>9.13</v>
      </c>
      <c r="F180" s="5" t="n">
        <v>0</v>
      </c>
      <c r="G180" s="5" t="n">
        <v>2988.93</v>
      </c>
      <c r="H180" s="7" t="s">
        <v>105</v>
      </c>
      <c r="I180" s="7" t="s">
        <v>37</v>
      </c>
      <c r="J180" s="6" t="n">
        <v>0.3</v>
      </c>
      <c r="K180" s="2" t="s">
        <v>29</v>
      </c>
      <c r="L180" s="5" t="n">
        <f aca="false">IF($K180="Y",ROUND($E180/11,2),0)</f>
        <v>0</v>
      </c>
      <c r="M180" s="2"/>
      <c r="N180" s="2" t="s">
        <v>28</v>
      </c>
      <c r="O180" s="2" t="s">
        <v>337</v>
      </c>
    </row>
    <row r="181" customFormat="false" ht="15" hidden="false" customHeight="false" outlineLevel="0" collapsed="false">
      <c r="A181" s="2" t="s">
        <v>384</v>
      </c>
      <c r="B181" s="4" t="n">
        <v>45999</v>
      </c>
      <c r="C181" s="2" t="n">
        <v>24</v>
      </c>
      <c r="D181" s="2" t="s">
        <v>293</v>
      </c>
      <c r="E181" s="5" t="n">
        <v>23.2</v>
      </c>
      <c r="F181" s="5" t="n">
        <v>0</v>
      </c>
      <c r="G181" s="5" t="n">
        <v>2965.73</v>
      </c>
      <c r="H181" s="7" t="s">
        <v>294</v>
      </c>
      <c r="I181" s="7" t="s">
        <v>37</v>
      </c>
      <c r="J181" s="6" t="n">
        <v>0.5</v>
      </c>
      <c r="K181" s="2" t="s">
        <v>29</v>
      </c>
      <c r="L181" s="5" t="n">
        <f aca="false">IF($K181="Y",ROUND($E181/11,2),0)</f>
        <v>0</v>
      </c>
      <c r="M181" s="2"/>
      <c r="N181" s="2" t="s">
        <v>28</v>
      </c>
      <c r="O181" s="2" t="s">
        <v>337</v>
      </c>
    </row>
    <row r="182" customFormat="false" ht="15" hidden="false" customHeight="false" outlineLevel="0" collapsed="false">
      <c r="A182" s="2" t="s">
        <v>385</v>
      </c>
      <c r="B182" s="4" t="n">
        <v>45999</v>
      </c>
      <c r="C182" s="2" t="n">
        <v>24</v>
      </c>
      <c r="D182" s="2" t="s">
        <v>259</v>
      </c>
      <c r="E182" s="5" t="n">
        <v>30</v>
      </c>
      <c r="F182" s="5" t="n">
        <v>0</v>
      </c>
      <c r="G182" s="5" t="n">
        <v>2935.73</v>
      </c>
      <c r="H182" s="7" t="s">
        <v>260</v>
      </c>
      <c r="I182" s="7" t="s">
        <v>27</v>
      </c>
      <c r="J182" s="6" t="n">
        <v>0.6</v>
      </c>
      <c r="K182" s="2" t="s">
        <v>28</v>
      </c>
      <c r="L182" s="5" t="n">
        <f aca="false">IF($K182="Y",ROUND($E182/11,2),0)</f>
        <v>2.73</v>
      </c>
      <c r="M182" s="2"/>
      <c r="N182" s="2" t="s">
        <v>28</v>
      </c>
      <c r="O182" s="2" t="s">
        <v>337</v>
      </c>
    </row>
    <row r="183" customFormat="false" ht="15" hidden="false" customHeight="false" outlineLevel="0" collapsed="false">
      <c r="A183" s="2" t="s">
        <v>386</v>
      </c>
      <c r="B183" s="4" t="n">
        <v>45999</v>
      </c>
      <c r="C183" s="2" t="n">
        <v>24</v>
      </c>
      <c r="D183" s="2" t="s">
        <v>387</v>
      </c>
      <c r="E183" s="5" t="n">
        <v>111</v>
      </c>
      <c r="F183" s="5" t="n">
        <v>0</v>
      </c>
      <c r="G183" s="5" t="n">
        <v>2824.73</v>
      </c>
      <c r="H183" s="7" t="s">
        <v>105</v>
      </c>
      <c r="I183" s="7" t="s">
        <v>37</v>
      </c>
      <c r="J183" s="6" t="n">
        <v>0.3</v>
      </c>
      <c r="K183" s="2" t="s">
        <v>29</v>
      </c>
      <c r="L183" s="5" t="n">
        <f aca="false">IF($K183="Y",ROUND($E183/11,2),0)</f>
        <v>0</v>
      </c>
      <c r="M183" s="2"/>
      <c r="N183" s="2" t="s">
        <v>28</v>
      </c>
      <c r="O183" s="2" t="s">
        <v>337</v>
      </c>
    </row>
    <row r="184" customFormat="false" ht="15" hidden="false" customHeight="false" outlineLevel="0" collapsed="false">
      <c r="A184" s="2" t="s">
        <v>388</v>
      </c>
      <c r="B184" s="4" t="n">
        <v>45999</v>
      </c>
      <c r="C184" s="2" t="n">
        <v>24</v>
      </c>
      <c r="D184" s="2" t="s">
        <v>389</v>
      </c>
      <c r="E184" s="5" t="n">
        <v>500</v>
      </c>
      <c r="F184" s="5" t="n">
        <v>0</v>
      </c>
      <c r="G184" s="5" t="n">
        <v>2324.73</v>
      </c>
      <c r="H184" s="7" t="s">
        <v>36</v>
      </c>
      <c r="I184" s="7" t="s">
        <v>37</v>
      </c>
      <c r="J184" s="6" t="n">
        <v>0.7</v>
      </c>
      <c r="K184" s="2" t="s">
        <v>29</v>
      </c>
      <c r="L184" s="5" t="n">
        <f aca="false">IF($K184="Y",ROUND($E184/11,2),0)</f>
        <v>0</v>
      </c>
      <c r="M184" s="2" t="s">
        <v>38</v>
      </c>
      <c r="N184" s="2" t="s">
        <v>28</v>
      </c>
      <c r="O184" s="2" t="s">
        <v>337</v>
      </c>
    </row>
    <row r="185" customFormat="false" ht="15" hidden="false" customHeight="false" outlineLevel="0" collapsed="false">
      <c r="A185" s="2" t="s">
        <v>390</v>
      </c>
      <c r="B185" s="4" t="n">
        <v>46000</v>
      </c>
      <c r="C185" s="2" t="n">
        <v>24</v>
      </c>
      <c r="D185" s="2" t="s">
        <v>293</v>
      </c>
      <c r="E185" s="5" t="n">
        <v>0</v>
      </c>
      <c r="F185" s="5" t="n">
        <v>0.02</v>
      </c>
      <c r="G185" s="5" t="n">
        <v>2324.75</v>
      </c>
      <c r="H185" s="7" t="s">
        <v>51</v>
      </c>
      <c r="I185" s="7" t="s">
        <v>27</v>
      </c>
      <c r="J185" s="6" t="n">
        <v>0.55</v>
      </c>
      <c r="K185" s="2" t="s">
        <v>29</v>
      </c>
      <c r="L185" s="5" t="n">
        <f aca="false">IF($K185="Y",ROUND($E185/11,2),0)</f>
        <v>0</v>
      </c>
      <c r="M185" s="2"/>
      <c r="N185" s="2" t="s">
        <v>28</v>
      </c>
      <c r="O185" s="2" t="s">
        <v>337</v>
      </c>
    </row>
    <row r="186" customFormat="false" ht="15" hidden="false" customHeight="false" outlineLevel="0" collapsed="false">
      <c r="A186" s="2" t="s">
        <v>391</v>
      </c>
      <c r="B186" s="4" t="n">
        <v>46000</v>
      </c>
      <c r="C186" s="2" t="n">
        <v>24</v>
      </c>
      <c r="D186" s="2" t="s">
        <v>323</v>
      </c>
      <c r="E186" s="5" t="n">
        <v>12.68</v>
      </c>
      <c r="F186" s="5" t="n">
        <v>0</v>
      </c>
      <c r="G186" s="5" t="n">
        <v>2312.07</v>
      </c>
      <c r="H186" s="7" t="s">
        <v>105</v>
      </c>
      <c r="I186" s="7" t="s">
        <v>37</v>
      </c>
      <c r="J186" s="6" t="n">
        <v>0.3</v>
      </c>
      <c r="K186" s="2" t="s">
        <v>29</v>
      </c>
      <c r="L186" s="5" t="n">
        <f aca="false">IF($K186="Y",ROUND($E186/11,2),0)</f>
        <v>0</v>
      </c>
      <c r="M186" s="2"/>
      <c r="N186" s="2" t="s">
        <v>28</v>
      </c>
      <c r="O186" s="2" t="s">
        <v>337</v>
      </c>
    </row>
    <row r="187" customFormat="false" ht="15" hidden="false" customHeight="false" outlineLevel="0" collapsed="false">
      <c r="A187" s="2" t="s">
        <v>392</v>
      </c>
      <c r="B187" s="4" t="n">
        <v>46000</v>
      </c>
      <c r="C187" s="2" t="n">
        <v>24</v>
      </c>
      <c r="D187" s="2" t="s">
        <v>293</v>
      </c>
      <c r="E187" s="5" t="n">
        <v>18.39</v>
      </c>
      <c r="F187" s="5" t="n">
        <v>0</v>
      </c>
      <c r="G187" s="5" t="n">
        <v>2293.68</v>
      </c>
      <c r="H187" s="7" t="s">
        <v>294</v>
      </c>
      <c r="I187" s="7" t="s">
        <v>37</v>
      </c>
      <c r="J187" s="6" t="n">
        <v>0.5</v>
      </c>
      <c r="K187" s="2" t="s">
        <v>29</v>
      </c>
      <c r="L187" s="5" t="n">
        <f aca="false">IF($K187="Y",ROUND($E187/11,2),0)</f>
        <v>0</v>
      </c>
      <c r="M187" s="2"/>
      <c r="N187" s="2" t="s">
        <v>28</v>
      </c>
      <c r="O187" s="2" t="s">
        <v>337</v>
      </c>
    </row>
    <row r="188" customFormat="false" ht="15" hidden="false" customHeight="false" outlineLevel="0" collapsed="false">
      <c r="A188" s="2" t="s">
        <v>393</v>
      </c>
      <c r="B188" s="4" t="n">
        <v>46000</v>
      </c>
      <c r="C188" s="2" t="n">
        <v>24</v>
      </c>
      <c r="D188" s="2" t="s">
        <v>357</v>
      </c>
      <c r="E188" s="5" t="n">
        <v>36.99</v>
      </c>
      <c r="F188" s="5" t="n">
        <v>0</v>
      </c>
      <c r="G188" s="5" t="n">
        <v>2256.69</v>
      </c>
      <c r="H188" s="7" t="s">
        <v>294</v>
      </c>
      <c r="I188" s="7" t="s">
        <v>37</v>
      </c>
      <c r="J188" s="6" t="n">
        <v>0.5</v>
      </c>
      <c r="K188" s="2" t="s">
        <v>29</v>
      </c>
      <c r="L188" s="5" t="n">
        <f aca="false">IF($K188="Y",ROUND($E188/11,2),0)</f>
        <v>0</v>
      </c>
      <c r="M188" s="2"/>
      <c r="N188" s="2" t="s">
        <v>28</v>
      </c>
      <c r="O188" s="2" t="s">
        <v>337</v>
      </c>
    </row>
    <row r="189" customFormat="false" ht="15" hidden="false" customHeight="false" outlineLevel="0" collapsed="false">
      <c r="A189" s="2" t="s">
        <v>394</v>
      </c>
      <c r="B189" s="4" t="n">
        <v>46000</v>
      </c>
      <c r="C189" s="2" t="n">
        <v>24</v>
      </c>
      <c r="D189" s="2" t="s">
        <v>395</v>
      </c>
      <c r="E189" s="5" t="n">
        <v>87.82</v>
      </c>
      <c r="F189" s="5" t="n">
        <v>0</v>
      </c>
      <c r="G189" s="5" t="n">
        <v>2168.87</v>
      </c>
      <c r="H189" s="7" t="s">
        <v>105</v>
      </c>
      <c r="I189" s="7" t="s">
        <v>37</v>
      </c>
      <c r="J189" s="6" t="n">
        <v>0.3</v>
      </c>
      <c r="K189" s="2" t="s">
        <v>29</v>
      </c>
      <c r="L189" s="5" t="n">
        <f aca="false">IF($K189="Y",ROUND($E189/11,2),0)</f>
        <v>0</v>
      </c>
      <c r="M189" s="2"/>
      <c r="N189" s="2" t="s">
        <v>28</v>
      </c>
      <c r="O189" s="2" t="s">
        <v>337</v>
      </c>
    </row>
    <row r="190" customFormat="false" ht="15" hidden="false" customHeight="false" outlineLevel="0" collapsed="false">
      <c r="A190" s="2" t="s">
        <v>396</v>
      </c>
      <c r="B190" s="4" t="n">
        <v>46001</v>
      </c>
      <c r="C190" s="2" t="n">
        <v>24</v>
      </c>
      <c r="D190" s="2" t="s">
        <v>293</v>
      </c>
      <c r="E190" s="5" t="n">
        <v>0</v>
      </c>
      <c r="F190" s="5" t="n">
        <v>0.02</v>
      </c>
      <c r="G190" s="5" t="n">
        <v>2168.89</v>
      </c>
      <c r="H190" s="7" t="s">
        <v>51</v>
      </c>
      <c r="I190" s="7" t="s">
        <v>27</v>
      </c>
      <c r="J190" s="6" t="n">
        <v>0.55</v>
      </c>
      <c r="K190" s="2" t="s">
        <v>29</v>
      </c>
      <c r="L190" s="5" t="n">
        <f aca="false">IF($K190="Y",ROUND($E190/11,2),0)</f>
        <v>0</v>
      </c>
      <c r="M190" s="2"/>
      <c r="N190" s="2" t="s">
        <v>28</v>
      </c>
      <c r="O190" s="2" t="s">
        <v>337</v>
      </c>
    </row>
    <row r="191" customFormat="false" ht="15" hidden="false" customHeight="false" outlineLevel="0" collapsed="false">
      <c r="A191" s="2" t="s">
        <v>397</v>
      </c>
      <c r="B191" s="4" t="n">
        <v>46001</v>
      </c>
      <c r="C191" s="2" t="n">
        <v>24</v>
      </c>
      <c r="D191" s="2" t="s">
        <v>293</v>
      </c>
      <c r="E191" s="5" t="n">
        <v>0</v>
      </c>
      <c r="F191" s="5" t="n">
        <v>22.25</v>
      </c>
      <c r="G191" s="5" t="n">
        <v>2191.14</v>
      </c>
      <c r="H191" s="7" t="s">
        <v>51</v>
      </c>
      <c r="I191" s="7" t="s">
        <v>27</v>
      </c>
      <c r="J191" s="6" t="n">
        <v>0.55</v>
      </c>
      <c r="K191" s="2" t="s">
        <v>29</v>
      </c>
      <c r="L191" s="5" t="n">
        <f aca="false">IF($K191="Y",ROUND($E191/11,2),0)</f>
        <v>0</v>
      </c>
      <c r="M191" s="2"/>
      <c r="N191" s="2" t="s">
        <v>28</v>
      </c>
      <c r="O191" s="2" t="s">
        <v>337</v>
      </c>
    </row>
    <row r="192" customFormat="false" ht="15" hidden="false" customHeight="false" outlineLevel="0" collapsed="false">
      <c r="A192" s="2" t="s">
        <v>398</v>
      </c>
      <c r="B192" s="4" t="n">
        <v>46001</v>
      </c>
      <c r="C192" s="2" t="n">
        <v>24</v>
      </c>
      <c r="D192" s="2" t="s">
        <v>293</v>
      </c>
      <c r="E192" s="5" t="n">
        <v>20.12</v>
      </c>
      <c r="F192" s="5" t="n">
        <v>0</v>
      </c>
      <c r="G192" s="5" t="n">
        <v>2171.02</v>
      </c>
      <c r="H192" s="7" t="s">
        <v>294</v>
      </c>
      <c r="I192" s="7" t="s">
        <v>37</v>
      </c>
      <c r="J192" s="6" t="n">
        <v>0.5</v>
      </c>
      <c r="K192" s="2" t="s">
        <v>29</v>
      </c>
      <c r="L192" s="5" t="n">
        <f aca="false">IF($K192="Y",ROUND($E192/11,2),0)</f>
        <v>0</v>
      </c>
      <c r="M192" s="2"/>
      <c r="N192" s="2" t="s">
        <v>28</v>
      </c>
      <c r="O192" s="2" t="s">
        <v>337</v>
      </c>
    </row>
    <row r="193" customFormat="false" ht="15" hidden="false" customHeight="false" outlineLevel="0" collapsed="false">
      <c r="A193" s="2" t="s">
        <v>399</v>
      </c>
      <c r="B193" s="4" t="n">
        <v>46001</v>
      </c>
      <c r="C193" s="2" t="n">
        <v>24</v>
      </c>
      <c r="D193" s="2" t="s">
        <v>293</v>
      </c>
      <c r="E193" s="5" t="n">
        <v>22.25</v>
      </c>
      <c r="F193" s="5" t="n">
        <v>0</v>
      </c>
      <c r="G193" s="5" t="n">
        <v>2148.77</v>
      </c>
      <c r="H193" s="7" t="s">
        <v>294</v>
      </c>
      <c r="I193" s="7" t="s">
        <v>37</v>
      </c>
      <c r="J193" s="6" t="n">
        <v>0.5</v>
      </c>
      <c r="K193" s="2" t="s">
        <v>29</v>
      </c>
      <c r="L193" s="5" t="n">
        <f aca="false">IF($K193="Y",ROUND($E193/11,2),0)</f>
        <v>0</v>
      </c>
      <c r="M193" s="2"/>
      <c r="N193" s="2" t="s">
        <v>28</v>
      </c>
      <c r="O193" s="2" t="s">
        <v>337</v>
      </c>
    </row>
    <row r="194" customFormat="false" ht="15" hidden="false" customHeight="false" outlineLevel="0" collapsed="false">
      <c r="A194" s="2" t="s">
        <v>400</v>
      </c>
      <c r="B194" s="4" t="n">
        <v>46001</v>
      </c>
      <c r="C194" s="2" t="n">
        <v>24</v>
      </c>
      <c r="D194" s="2" t="s">
        <v>293</v>
      </c>
      <c r="E194" s="5" t="n">
        <v>27.55</v>
      </c>
      <c r="F194" s="5" t="n">
        <v>0</v>
      </c>
      <c r="G194" s="5" t="n">
        <v>2121.22</v>
      </c>
      <c r="H194" s="7" t="s">
        <v>294</v>
      </c>
      <c r="I194" s="7" t="s">
        <v>37</v>
      </c>
      <c r="J194" s="6" t="n">
        <v>0.5</v>
      </c>
      <c r="K194" s="2" t="s">
        <v>29</v>
      </c>
      <c r="L194" s="5" t="n">
        <f aca="false">IF($K194="Y",ROUND($E194/11,2),0)</f>
        <v>0</v>
      </c>
      <c r="M194" s="2"/>
      <c r="N194" s="2" t="s">
        <v>28</v>
      </c>
      <c r="O194" s="2" t="s">
        <v>337</v>
      </c>
    </row>
    <row r="195" customFormat="false" ht="15" hidden="false" customHeight="false" outlineLevel="0" collapsed="false">
      <c r="A195" s="2" t="s">
        <v>401</v>
      </c>
      <c r="B195" s="4" t="n">
        <v>46001</v>
      </c>
      <c r="C195" s="2" t="n">
        <v>24</v>
      </c>
      <c r="D195" s="2" t="s">
        <v>402</v>
      </c>
      <c r="E195" s="5" t="n">
        <v>50</v>
      </c>
      <c r="F195" s="5" t="n">
        <v>0</v>
      </c>
      <c r="G195" s="5" t="n">
        <v>2071.22</v>
      </c>
      <c r="H195" s="7" t="s">
        <v>36</v>
      </c>
      <c r="I195" s="7" t="s">
        <v>37</v>
      </c>
      <c r="J195" s="6" t="n">
        <v>0.7</v>
      </c>
      <c r="K195" s="2" t="s">
        <v>29</v>
      </c>
      <c r="L195" s="5" t="n">
        <f aca="false">IF($K195="Y",ROUND($E195/11,2),0)</f>
        <v>0</v>
      </c>
      <c r="M195" s="2" t="s">
        <v>38</v>
      </c>
      <c r="N195" s="2" t="s">
        <v>28</v>
      </c>
      <c r="O195" s="2" t="s">
        <v>337</v>
      </c>
    </row>
    <row r="196" customFormat="false" ht="15" hidden="false" customHeight="false" outlineLevel="0" collapsed="false">
      <c r="A196" s="2" t="s">
        <v>403</v>
      </c>
      <c r="B196" s="4" t="n">
        <v>46001</v>
      </c>
      <c r="C196" s="2" t="n">
        <v>24</v>
      </c>
      <c r="D196" s="2" t="s">
        <v>404</v>
      </c>
      <c r="E196" s="5" t="n">
        <v>319</v>
      </c>
      <c r="F196" s="5" t="n">
        <v>0</v>
      </c>
      <c r="G196" s="5" t="n">
        <v>1752.22</v>
      </c>
      <c r="H196" s="7" t="s">
        <v>105</v>
      </c>
      <c r="I196" s="7" t="s">
        <v>37</v>
      </c>
      <c r="J196" s="6" t="n">
        <v>0.3</v>
      </c>
      <c r="K196" s="2" t="s">
        <v>29</v>
      </c>
      <c r="L196" s="5" t="n">
        <f aca="false">IF($K196="Y",ROUND($E196/11,2),0)</f>
        <v>0</v>
      </c>
      <c r="M196" s="2"/>
      <c r="N196" s="2" t="s">
        <v>28</v>
      </c>
      <c r="O196" s="2" t="s">
        <v>337</v>
      </c>
    </row>
    <row r="197" customFormat="false" ht="15" hidden="false" customHeight="false" outlineLevel="0" collapsed="false">
      <c r="A197" s="2" t="s">
        <v>405</v>
      </c>
      <c r="B197" s="4" t="n">
        <v>46002</v>
      </c>
      <c r="C197" s="2" t="n">
        <v>24</v>
      </c>
      <c r="D197" s="2" t="s">
        <v>406</v>
      </c>
      <c r="E197" s="5" t="n">
        <v>6.6</v>
      </c>
      <c r="F197" s="5" t="n">
        <v>0</v>
      </c>
      <c r="G197" s="5" t="n">
        <v>1745.62</v>
      </c>
      <c r="H197" s="7" t="s">
        <v>105</v>
      </c>
      <c r="I197" s="7" t="s">
        <v>37</v>
      </c>
      <c r="J197" s="6" t="n">
        <v>0.3</v>
      </c>
      <c r="K197" s="2" t="s">
        <v>29</v>
      </c>
      <c r="L197" s="5" t="n">
        <f aca="false">IF($K197="Y",ROUND($E197/11,2),0)</f>
        <v>0</v>
      </c>
      <c r="M197" s="2"/>
      <c r="N197" s="2" t="s">
        <v>28</v>
      </c>
      <c r="O197" s="2" t="s">
        <v>337</v>
      </c>
    </row>
    <row r="198" customFormat="false" ht="15" hidden="false" customHeight="false" outlineLevel="0" collapsed="false">
      <c r="A198" s="2" t="s">
        <v>407</v>
      </c>
      <c r="B198" s="4" t="n">
        <v>46002</v>
      </c>
      <c r="C198" s="2" t="n">
        <v>24</v>
      </c>
      <c r="D198" s="2" t="s">
        <v>408</v>
      </c>
      <c r="E198" s="5" t="n">
        <v>24.4</v>
      </c>
      <c r="F198" s="5" t="n">
        <v>0</v>
      </c>
      <c r="G198" s="5" t="n">
        <v>1721.22</v>
      </c>
      <c r="H198" s="7" t="s">
        <v>105</v>
      </c>
      <c r="I198" s="7" t="s">
        <v>37</v>
      </c>
      <c r="J198" s="6" t="n">
        <v>0.3</v>
      </c>
      <c r="K198" s="2" t="s">
        <v>29</v>
      </c>
      <c r="L198" s="5" t="n">
        <f aca="false">IF($K198="Y",ROUND($E198/11,2),0)</f>
        <v>0</v>
      </c>
      <c r="M198" s="2"/>
      <c r="N198" s="2" t="s">
        <v>28</v>
      </c>
      <c r="O198" s="2" t="s">
        <v>337</v>
      </c>
    </row>
    <row r="199" customFormat="false" ht="15" hidden="false" customHeight="false" outlineLevel="0" collapsed="false">
      <c r="A199" s="2" t="s">
        <v>409</v>
      </c>
      <c r="B199" s="4" t="n">
        <v>46003</v>
      </c>
      <c r="C199" s="2" t="n">
        <v>24</v>
      </c>
      <c r="D199" s="2" t="s">
        <v>345</v>
      </c>
      <c r="E199" s="5" t="n">
        <v>9.5</v>
      </c>
      <c r="F199" s="5" t="n">
        <v>0</v>
      </c>
      <c r="G199" s="5" t="n">
        <v>1711.72</v>
      </c>
      <c r="H199" s="2" t="s">
        <v>26</v>
      </c>
      <c r="I199" s="2" t="s">
        <v>27</v>
      </c>
      <c r="J199" s="6" t="n">
        <v>0.7</v>
      </c>
      <c r="K199" s="2" t="s">
        <v>28</v>
      </c>
      <c r="L199" s="5" t="n">
        <f aca="false">IF($K199="Y",ROUND($E199/11,2),0)</f>
        <v>0.86</v>
      </c>
      <c r="M199" s="2"/>
      <c r="N199" s="2" t="s">
        <v>29</v>
      </c>
      <c r="O199" s="2" t="s">
        <v>337</v>
      </c>
    </row>
    <row r="200" customFormat="false" ht="15" hidden="false" customHeight="false" outlineLevel="0" collapsed="false">
      <c r="A200" s="2" t="s">
        <v>410</v>
      </c>
      <c r="B200" s="4" t="n">
        <v>46003</v>
      </c>
      <c r="C200" s="2" t="n">
        <v>24</v>
      </c>
      <c r="D200" s="2" t="s">
        <v>411</v>
      </c>
      <c r="E200" s="5" t="n">
        <v>15</v>
      </c>
      <c r="F200" s="5" t="n">
        <v>0</v>
      </c>
      <c r="G200" s="5" t="n">
        <v>1696.72</v>
      </c>
      <c r="H200" s="7" t="s">
        <v>105</v>
      </c>
      <c r="I200" s="7" t="s">
        <v>37</v>
      </c>
      <c r="J200" s="6" t="n">
        <v>0.3</v>
      </c>
      <c r="K200" s="2" t="s">
        <v>29</v>
      </c>
      <c r="L200" s="5" t="n">
        <f aca="false">IF($K200="Y",ROUND($E200/11,2),0)</f>
        <v>0</v>
      </c>
      <c r="M200" s="2"/>
      <c r="N200" s="2" t="s">
        <v>28</v>
      </c>
      <c r="O200" s="2" t="s">
        <v>337</v>
      </c>
    </row>
    <row r="201" customFormat="false" ht="15" hidden="false" customHeight="false" outlineLevel="0" collapsed="false">
      <c r="A201" s="2" t="s">
        <v>412</v>
      </c>
      <c r="B201" s="4" t="n">
        <v>46003</v>
      </c>
      <c r="C201" s="2" t="n">
        <v>24</v>
      </c>
      <c r="D201" s="2" t="s">
        <v>413</v>
      </c>
      <c r="E201" s="5" t="n">
        <v>34.28</v>
      </c>
      <c r="F201" s="5" t="n">
        <v>0</v>
      </c>
      <c r="G201" s="5" t="n">
        <v>1662.44</v>
      </c>
      <c r="H201" s="7" t="s">
        <v>105</v>
      </c>
      <c r="I201" s="7" t="s">
        <v>37</v>
      </c>
      <c r="J201" s="6" t="n">
        <v>0.3</v>
      </c>
      <c r="K201" s="2" t="s">
        <v>29</v>
      </c>
      <c r="L201" s="5" t="n">
        <f aca="false">IF($K201="Y",ROUND($E201/11,2),0)</f>
        <v>0</v>
      </c>
      <c r="M201" s="2"/>
      <c r="N201" s="2" t="s">
        <v>28</v>
      </c>
      <c r="O201" s="2" t="s">
        <v>337</v>
      </c>
    </row>
    <row r="202" customFormat="false" ht="15" hidden="false" customHeight="false" outlineLevel="0" collapsed="false">
      <c r="A202" s="2" t="s">
        <v>414</v>
      </c>
      <c r="B202" s="4" t="n">
        <v>46003</v>
      </c>
      <c r="C202" s="2" t="n">
        <v>24</v>
      </c>
      <c r="D202" s="2" t="s">
        <v>415</v>
      </c>
      <c r="E202" s="5" t="n">
        <v>54.38</v>
      </c>
      <c r="F202" s="5" t="n">
        <v>0</v>
      </c>
      <c r="G202" s="5" t="n">
        <v>1608.06</v>
      </c>
      <c r="H202" s="7" t="s">
        <v>105</v>
      </c>
      <c r="I202" s="7" t="s">
        <v>37</v>
      </c>
      <c r="J202" s="6" t="n">
        <v>0.3</v>
      </c>
      <c r="K202" s="2" t="s">
        <v>29</v>
      </c>
      <c r="L202" s="5" t="n">
        <f aca="false">IF($K202="Y",ROUND($E202/11,2),0)</f>
        <v>0</v>
      </c>
      <c r="M202" s="2"/>
      <c r="N202" s="2" t="s">
        <v>28</v>
      </c>
      <c r="O202" s="2" t="s">
        <v>337</v>
      </c>
    </row>
    <row r="203" customFormat="false" ht="15" hidden="false" customHeight="false" outlineLevel="0" collapsed="false">
      <c r="A203" s="2" t="s">
        <v>416</v>
      </c>
      <c r="B203" s="4" t="n">
        <v>46003</v>
      </c>
      <c r="C203" s="2" t="n">
        <v>24</v>
      </c>
      <c r="D203" s="2" t="s">
        <v>293</v>
      </c>
      <c r="E203" s="5" t="n">
        <v>80.05</v>
      </c>
      <c r="F203" s="5" t="n">
        <v>0</v>
      </c>
      <c r="G203" s="5" t="n">
        <v>1528.01</v>
      </c>
      <c r="H203" s="7" t="s">
        <v>294</v>
      </c>
      <c r="I203" s="7" t="s">
        <v>37</v>
      </c>
      <c r="J203" s="6" t="n">
        <v>0.5</v>
      </c>
      <c r="K203" s="2" t="s">
        <v>29</v>
      </c>
      <c r="L203" s="5" t="n">
        <f aca="false">IF($K203="Y",ROUND($E203/11,2),0)</f>
        <v>0</v>
      </c>
      <c r="M203" s="2"/>
      <c r="N203" s="2" t="s">
        <v>28</v>
      </c>
      <c r="O203" s="2" t="s">
        <v>337</v>
      </c>
    </row>
    <row r="204" customFormat="false" ht="15" hidden="false" customHeight="false" outlineLevel="0" collapsed="false">
      <c r="A204" s="2" t="s">
        <v>417</v>
      </c>
      <c r="B204" s="4" t="n">
        <v>46003</v>
      </c>
      <c r="C204" s="2" t="n">
        <v>24</v>
      </c>
      <c r="D204" s="2" t="s">
        <v>418</v>
      </c>
      <c r="E204" s="5" t="n">
        <v>113.24</v>
      </c>
      <c r="F204" s="5" t="n">
        <v>0</v>
      </c>
      <c r="G204" s="5" t="n">
        <v>1414.77</v>
      </c>
      <c r="H204" s="2" t="s">
        <v>271</v>
      </c>
      <c r="I204" s="2" t="s">
        <v>27</v>
      </c>
      <c r="J204" s="6" t="n">
        <v>0.7</v>
      </c>
      <c r="K204" s="2" t="s">
        <v>28</v>
      </c>
      <c r="L204" s="5" t="n">
        <f aca="false">IF($K204="Y",ROUND($E204/11,2),0)</f>
        <v>10.29</v>
      </c>
      <c r="M204" s="2"/>
      <c r="N204" s="2" t="s">
        <v>29</v>
      </c>
      <c r="O204" s="2" t="s">
        <v>337</v>
      </c>
    </row>
    <row r="205" customFormat="false" ht="15" hidden="false" customHeight="false" outlineLevel="0" collapsed="false">
      <c r="A205" s="2" t="s">
        <v>419</v>
      </c>
      <c r="B205" s="4" t="n">
        <v>46003</v>
      </c>
      <c r="C205" s="2" t="n">
        <v>24</v>
      </c>
      <c r="D205" s="2" t="s">
        <v>275</v>
      </c>
      <c r="E205" s="5" t="n">
        <v>299</v>
      </c>
      <c r="F205" s="5" t="n">
        <v>0</v>
      </c>
      <c r="G205" s="5" t="n">
        <v>1115.77</v>
      </c>
      <c r="H205" s="7" t="s">
        <v>105</v>
      </c>
      <c r="I205" s="7" t="s">
        <v>37</v>
      </c>
      <c r="J205" s="6" t="n">
        <v>0.3</v>
      </c>
      <c r="K205" s="2" t="s">
        <v>29</v>
      </c>
      <c r="L205" s="5" t="n">
        <f aca="false">IF($K205="Y",ROUND($E205/11,2),0)</f>
        <v>0</v>
      </c>
      <c r="M205" s="2"/>
      <c r="N205" s="2" t="s">
        <v>28</v>
      </c>
      <c r="O205" s="2" t="s">
        <v>337</v>
      </c>
    </row>
    <row r="206" customFormat="false" ht="15" hidden="false" customHeight="false" outlineLevel="0" collapsed="false">
      <c r="A206" s="2" t="s">
        <v>420</v>
      </c>
      <c r="B206" s="4" t="n">
        <v>46006</v>
      </c>
      <c r="C206" s="2" t="n">
        <v>24</v>
      </c>
      <c r="D206" s="2" t="s">
        <v>421</v>
      </c>
      <c r="E206" s="5" t="n">
        <v>9.5</v>
      </c>
      <c r="F206" s="5" t="n">
        <v>0</v>
      </c>
      <c r="G206" s="5" t="n">
        <v>1106.27</v>
      </c>
      <c r="H206" s="2" t="s">
        <v>26</v>
      </c>
      <c r="I206" s="2" t="s">
        <v>27</v>
      </c>
      <c r="J206" s="6" t="n">
        <v>0.7</v>
      </c>
      <c r="K206" s="2" t="s">
        <v>28</v>
      </c>
      <c r="L206" s="5" t="n">
        <f aca="false">IF($K206="Y",ROUND($E206/11,2),0)</f>
        <v>0.86</v>
      </c>
      <c r="M206" s="2"/>
      <c r="N206" s="2" t="s">
        <v>29</v>
      </c>
      <c r="O206" s="2" t="s">
        <v>337</v>
      </c>
    </row>
    <row r="207" customFormat="false" ht="15" hidden="false" customHeight="false" outlineLevel="0" collapsed="false">
      <c r="A207" s="2" t="s">
        <v>422</v>
      </c>
      <c r="B207" s="4" t="n">
        <v>46006</v>
      </c>
      <c r="C207" s="2" t="n">
        <v>24</v>
      </c>
      <c r="D207" s="2" t="s">
        <v>423</v>
      </c>
      <c r="E207" s="5" t="n">
        <v>24.45</v>
      </c>
      <c r="F207" s="5" t="n">
        <v>0</v>
      </c>
      <c r="G207" s="5" t="n">
        <v>1081.82</v>
      </c>
      <c r="H207" s="7" t="s">
        <v>105</v>
      </c>
      <c r="I207" s="7" t="s">
        <v>37</v>
      </c>
      <c r="J207" s="6" t="n">
        <v>0.3</v>
      </c>
      <c r="K207" s="2" t="s">
        <v>29</v>
      </c>
      <c r="L207" s="5" t="n">
        <f aca="false">IF($K207="Y",ROUND($E207/11,2),0)</f>
        <v>0</v>
      </c>
      <c r="M207" s="2"/>
      <c r="N207" s="2" t="s">
        <v>28</v>
      </c>
      <c r="O207" s="2" t="s">
        <v>337</v>
      </c>
    </row>
    <row r="208" customFormat="false" ht="15" hidden="false" customHeight="false" outlineLevel="0" collapsed="false">
      <c r="A208" s="2" t="s">
        <v>424</v>
      </c>
      <c r="B208" s="4" t="n">
        <v>46006</v>
      </c>
      <c r="C208" s="2" t="n">
        <v>24</v>
      </c>
      <c r="D208" s="2" t="s">
        <v>425</v>
      </c>
      <c r="E208" s="5" t="n">
        <v>27</v>
      </c>
      <c r="F208" s="5" t="n">
        <v>0</v>
      </c>
      <c r="G208" s="5" t="n">
        <v>1054.82</v>
      </c>
      <c r="H208" s="7" t="s">
        <v>105</v>
      </c>
      <c r="I208" s="7" t="s">
        <v>37</v>
      </c>
      <c r="J208" s="6" t="n">
        <v>0.3</v>
      </c>
      <c r="K208" s="2" t="s">
        <v>29</v>
      </c>
      <c r="L208" s="5" t="n">
        <f aca="false">IF($K208="Y",ROUND($E208/11,2),0)</f>
        <v>0</v>
      </c>
      <c r="M208" s="2"/>
      <c r="N208" s="2" t="s">
        <v>28</v>
      </c>
      <c r="O208" s="2" t="s">
        <v>337</v>
      </c>
    </row>
    <row r="209" customFormat="false" ht="15" hidden="false" customHeight="false" outlineLevel="0" collapsed="false">
      <c r="A209" s="2" t="s">
        <v>426</v>
      </c>
      <c r="B209" s="4" t="n">
        <v>46006</v>
      </c>
      <c r="C209" s="2" t="n">
        <v>24</v>
      </c>
      <c r="D209" s="2" t="s">
        <v>427</v>
      </c>
      <c r="E209" s="5" t="n">
        <v>50.06</v>
      </c>
      <c r="F209" s="5" t="n">
        <v>0</v>
      </c>
      <c r="G209" s="5" t="n">
        <v>1004.76</v>
      </c>
      <c r="H209" s="2" t="s">
        <v>26</v>
      </c>
      <c r="I209" s="2" t="s">
        <v>27</v>
      </c>
      <c r="J209" s="6" t="n">
        <v>0.7</v>
      </c>
      <c r="K209" s="2" t="s">
        <v>28</v>
      </c>
      <c r="L209" s="5" t="n">
        <f aca="false">IF($K209="Y",ROUND($E209/11,2),0)</f>
        <v>4.55</v>
      </c>
      <c r="M209" s="2"/>
      <c r="N209" s="2" t="s">
        <v>29</v>
      </c>
      <c r="O209" s="2" t="s">
        <v>337</v>
      </c>
    </row>
    <row r="210" customFormat="false" ht="15" hidden="false" customHeight="false" outlineLevel="0" collapsed="false">
      <c r="A210" s="2" t="s">
        <v>428</v>
      </c>
      <c r="B210" s="4" t="n">
        <v>46006</v>
      </c>
      <c r="C210" s="2" t="n">
        <v>24</v>
      </c>
      <c r="D210" s="2" t="s">
        <v>429</v>
      </c>
      <c r="E210" s="5" t="n">
        <v>61.98</v>
      </c>
      <c r="F210" s="5" t="n">
        <v>0</v>
      </c>
      <c r="G210" s="5" t="n">
        <v>942.78</v>
      </c>
      <c r="H210" s="7" t="s">
        <v>294</v>
      </c>
      <c r="I210" s="7" t="s">
        <v>37</v>
      </c>
      <c r="J210" s="6" t="n">
        <v>0.5</v>
      </c>
      <c r="K210" s="2" t="s">
        <v>29</v>
      </c>
      <c r="L210" s="5" t="n">
        <f aca="false">IF($K210="Y",ROUND($E210/11,2),0)</f>
        <v>0</v>
      </c>
      <c r="M210" s="2"/>
      <c r="N210" s="2" t="s">
        <v>28</v>
      </c>
      <c r="O210" s="2" t="s">
        <v>337</v>
      </c>
    </row>
    <row r="211" customFormat="false" ht="15" hidden="false" customHeight="false" outlineLevel="0" collapsed="false">
      <c r="A211" s="2" t="s">
        <v>430</v>
      </c>
      <c r="B211" s="4" t="n">
        <v>46006</v>
      </c>
      <c r="C211" s="2" t="n">
        <v>24</v>
      </c>
      <c r="D211" s="2" t="s">
        <v>431</v>
      </c>
      <c r="E211" s="5" t="n">
        <v>75.41</v>
      </c>
      <c r="F211" s="5" t="n">
        <v>0</v>
      </c>
      <c r="G211" s="5" t="n">
        <v>867.37</v>
      </c>
      <c r="H211" s="7" t="s">
        <v>294</v>
      </c>
      <c r="I211" s="7" t="s">
        <v>37</v>
      </c>
      <c r="J211" s="6" t="n">
        <v>0.5</v>
      </c>
      <c r="K211" s="2" t="s">
        <v>29</v>
      </c>
      <c r="L211" s="5" t="n">
        <f aca="false">IF($K211="Y",ROUND($E211/11,2),0)</f>
        <v>0</v>
      </c>
      <c r="M211" s="2"/>
      <c r="N211" s="2" t="s">
        <v>28</v>
      </c>
      <c r="O211" s="2" t="s">
        <v>337</v>
      </c>
    </row>
    <row r="212" customFormat="false" ht="15" hidden="false" customHeight="false" outlineLevel="0" collapsed="false">
      <c r="A212" s="2" t="s">
        <v>432</v>
      </c>
      <c r="B212" s="4" t="n">
        <v>46007</v>
      </c>
      <c r="C212" s="2" t="n">
        <v>24</v>
      </c>
      <c r="D212" s="2" t="s">
        <v>433</v>
      </c>
      <c r="E212" s="5" t="n">
        <v>20.13</v>
      </c>
      <c r="F212" s="5" t="n">
        <v>0</v>
      </c>
      <c r="G212" s="5" t="n">
        <v>847.24</v>
      </c>
      <c r="H212" s="7" t="s">
        <v>105</v>
      </c>
      <c r="I212" s="7" t="s">
        <v>37</v>
      </c>
      <c r="J212" s="6" t="n">
        <v>0.3</v>
      </c>
      <c r="K212" s="2" t="s">
        <v>29</v>
      </c>
      <c r="L212" s="5" t="n">
        <f aca="false">IF($K212="Y",ROUND($E212/11,2),0)</f>
        <v>0</v>
      </c>
      <c r="M212" s="2"/>
      <c r="N212" s="2" t="s">
        <v>28</v>
      </c>
      <c r="O212" s="2" t="s">
        <v>337</v>
      </c>
    </row>
    <row r="213" customFormat="false" ht="15" hidden="false" customHeight="false" outlineLevel="0" collapsed="false">
      <c r="A213" s="2" t="s">
        <v>434</v>
      </c>
      <c r="B213" s="4" t="n">
        <v>46007</v>
      </c>
      <c r="C213" s="2" t="n">
        <v>24</v>
      </c>
      <c r="D213" s="2" t="s">
        <v>435</v>
      </c>
      <c r="E213" s="5" t="n">
        <v>23.48</v>
      </c>
      <c r="F213" s="5" t="n">
        <v>0</v>
      </c>
      <c r="G213" s="5" t="n">
        <v>823.76</v>
      </c>
      <c r="H213" s="7" t="s">
        <v>105</v>
      </c>
      <c r="I213" s="7" t="s">
        <v>37</v>
      </c>
      <c r="J213" s="6" t="n">
        <v>0.3</v>
      </c>
      <c r="K213" s="2" t="s">
        <v>29</v>
      </c>
      <c r="L213" s="5" t="n">
        <f aca="false">IF($K213="Y",ROUND($E213/11,2),0)</f>
        <v>0</v>
      </c>
      <c r="M213" s="2"/>
      <c r="N213" s="2" t="s">
        <v>28</v>
      </c>
      <c r="O213" s="2" t="s">
        <v>337</v>
      </c>
    </row>
    <row r="214" customFormat="false" ht="15" hidden="false" customHeight="false" outlineLevel="0" collapsed="false">
      <c r="A214" s="2" t="s">
        <v>436</v>
      </c>
      <c r="B214" s="4" t="n">
        <v>46007</v>
      </c>
      <c r="C214" s="2" t="n">
        <v>24</v>
      </c>
      <c r="D214" s="2" t="s">
        <v>331</v>
      </c>
      <c r="E214" s="5" t="n">
        <v>26.15</v>
      </c>
      <c r="F214" s="5" t="n">
        <v>0</v>
      </c>
      <c r="G214" s="5" t="n">
        <v>797.61</v>
      </c>
      <c r="H214" s="7" t="s">
        <v>294</v>
      </c>
      <c r="I214" s="7" t="s">
        <v>37</v>
      </c>
      <c r="J214" s="6" t="n">
        <v>0.5</v>
      </c>
      <c r="K214" s="2" t="s">
        <v>29</v>
      </c>
      <c r="L214" s="5" t="n">
        <f aca="false">IF($K214="Y",ROUND($E214/11,2),0)</f>
        <v>0</v>
      </c>
      <c r="M214" s="2"/>
      <c r="N214" s="2" t="s">
        <v>28</v>
      </c>
      <c r="O214" s="2" t="s">
        <v>337</v>
      </c>
    </row>
    <row r="215" customFormat="false" ht="15" hidden="false" customHeight="false" outlineLevel="0" collapsed="false">
      <c r="A215" s="2" t="s">
        <v>437</v>
      </c>
      <c r="B215" s="4" t="n">
        <v>46007</v>
      </c>
      <c r="C215" s="2" t="n">
        <v>24</v>
      </c>
      <c r="D215" s="2" t="s">
        <v>438</v>
      </c>
      <c r="E215" s="5" t="n">
        <v>34</v>
      </c>
      <c r="F215" s="5" t="n">
        <v>0</v>
      </c>
      <c r="G215" s="5" t="n">
        <v>763.61</v>
      </c>
      <c r="H215" s="7" t="s">
        <v>105</v>
      </c>
      <c r="I215" s="7" t="s">
        <v>37</v>
      </c>
      <c r="J215" s="6" t="n">
        <v>0.3</v>
      </c>
      <c r="K215" s="2" t="s">
        <v>29</v>
      </c>
      <c r="L215" s="5" t="n">
        <f aca="false">IF($K215="Y",ROUND($E215/11,2),0)</f>
        <v>0</v>
      </c>
      <c r="M215" s="2"/>
      <c r="N215" s="2" t="s">
        <v>28</v>
      </c>
      <c r="O215" s="2" t="s">
        <v>337</v>
      </c>
    </row>
    <row r="216" customFormat="false" ht="15" hidden="false" customHeight="false" outlineLevel="0" collapsed="false">
      <c r="A216" s="2" t="s">
        <v>439</v>
      </c>
      <c r="B216" s="4" t="n">
        <v>46007</v>
      </c>
      <c r="C216" s="2" t="n">
        <v>24</v>
      </c>
      <c r="D216" s="2" t="s">
        <v>440</v>
      </c>
      <c r="E216" s="5" t="n">
        <v>127.65</v>
      </c>
      <c r="F216" s="5" t="n">
        <v>0</v>
      </c>
      <c r="G216" s="5" t="n">
        <v>635.96</v>
      </c>
      <c r="H216" s="7" t="s">
        <v>105</v>
      </c>
      <c r="I216" s="7" t="s">
        <v>37</v>
      </c>
      <c r="J216" s="6" t="n">
        <v>0.3</v>
      </c>
      <c r="K216" s="2" t="s">
        <v>29</v>
      </c>
      <c r="L216" s="5" t="n">
        <f aca="false">IF($K216="Y",ROUND($E216/11,2),0)</f>
        <v>0</v>
      </c>
      <c r="M216" s="2"/>
      <c r="N216" s="2" t="s">
        <v>28</v>
      </c>
      <c r="O216" s="2" t="s">
        <v>337</v>
      </c>
    </row>
    <row r="217" customFormat="false" ht="15" hidden="false" customHeight="false" outlineLevel="0" collapsed="false">
      <c r="A217" s="2" t="s">
        <v>441</v>
      </c>
      <c r="B217" s="4" t="n">
        <v>46008</v>
      </c>
      <c r="C217" s="2" t="n">
        <v>24</v>
      </c>
      <c r="D217" s="2" t="s">
        <v>442</v>
      </c>
      <c r="E217" s="5" t="n">
        <v>0</v>
      </c>
      <c r="F217" s="5" t="n">
        <v>4137.5</v>
      </c>
      <c r="G217" s="5" t="n">
        <v>4773.46</v>
      </c>
      <c r="H217" s="7" t="s">
        <v>51</v>
      </c>
      <c r="I217" s="7" t="s">
        <v>27</v>
      </c>
      <c r="J217" s="6" t="n">
        <v>0.55</v>
      </c>
      <c r="K217" s="2" t="s">
        <v>29</v>
      </c>
      <c r="L217" s="5" t="n">
        <f aca="false">IF($K217="Y",ROUND($E217/11,2),0)</f>
        <v>0</v>
      </c>
      <c r="M217" s="2"/>
      <c r="N217" s="2" t="s">
        <v>28</v>
      </c>
      <c r="O217" s="2" t="s">
        <v>337</v>
      </c>
    </row>
    <row r="218" customFormat="false" ht="15" hidden="false" customHeight="false" outlineLevel="0" collapsed="false">
      <c r="A218" s="2" t="s">
        <v>443</v>
      </c>
      <c r="B218" s="4" t="n">
        <v>46008</v>
      </c>
      <c r="C218" s="2" t="n">
        <v>24</v>
      </c>
      <c r="D218" s="2" t="s">
        <v>348</v>
      </c>
      <c r="E218" s="5" t="n">
        <v>32.5</v>
      </c>
      <c r="F218" s="5" t="n">
        <v>0</v>
      </c>
      <c r="G218" s="5" t="n">
        <v>4740.96</v>
      </c>
      <c r="H218" s="7" t="s">
        <v>105</v>
      </c>
      <c r="I218" s="7" t="s">
        <v>37</v>
      </c>
      <c r="J218" s="6" t="n">
        <v>0.3</v>
      </c>
      <c r="K218" s="2" t="s">
        <v>29</v>
      </c>
      <c r="L218" s="5" t="n">
        <f aca="false">IF($K218="Y",ROUND($E218/11,2),0)</f>
        <v>0</v>
      </c>
      <c r="M218" s="2"/>
      <c r="N218" s="2" t="s">
        <v>28</v>
      </c>
      <c r="O218" s="2" t="s">
        <v>337</v>
      </c>
    </row>
    <row r="219" customFormat="false" ht="15" hidden="false" customHeight="false" outlineLevel="0" collapsed="false">
      <c r="A219" s="2" t="s">
        <v>444</v>
      </c>
      <c r="B219" s="4" t="n">
        <v>46008</v>
      </c>
      <c r="C219" s="2" t="n">
        <v>24</v>
      </c>
      <c r="D219" s="2" t="s">
        <v>445</v>
      </c>
      <c r="E219" s="5" t="n">
        <v>33</v>
      </c>
      <c r="F219" s="5" t="n">
        <v>0</v>
      </c>
      <c r="G219" s="5" t="n">
        <v>4707.96</v>
      </c>
      <c r="H219" s="7" t="s">
        <v>105</v>
      </c>
      <c r="I219" s="7" t="s">
        <v>37</v>
      </c>
      <c r="J219" s="6" t="n">
        <v>0.3</v>
      </c>
      <c r="K219" s="2" t="s">
        <v>29</v>
      </c>
      <c r="L219" s="5" t="n">
        <f aca="false">IF($K219="Y",ROUND($E219/11,2),0)</f>
        <v>0</v>
      </c>
      <c r="M219" s="2"/>
      <c r="N219" s="2" t="s">
        <v>28</v>
      </c>
      <c r="O219" s="2" t="s">
        <v>337</v>
      </c>
    </row>
    <row r="220" customFormat="false" ht="15" hidden="false" customHeight="false" outlineLevel="0" collapsed="false">
      <c r="A220" s="2" t="s">
        <v>446</v>
      </c>
      <c r="B220" s="4" t="n">
        <v>46008</v>
      </c>
      <c r="C220" s="2" t="n">
        <v>24</v>
      </c>
      <c r="D220" s="2" t="s">
        <v>447</v>
      </c>
      <c r="E220" s="5" t="n">
        <v>2100</v>
      </c>
      <c r="F220" s="5" t="n">
        <v>0</v>
      </c>
      <c r="G220" s="5" t="n">
        <v>2607.96</v>
      </c>
      <c r="H220" s="7" t="s">
        <v>36</v>
      </c>
      <c r="I220" s="7" t="s">
        <v>37</v>
      </c>
      <c r="J220" s="6" t="n">
        <v>0.7</v>
      </c>
      <c r="K220" s="2" t="s">
        <v>29</v>
      </c>
      <c r="L220" s="5" t="n">
        <f aca="false">IF($K220="Y",ROUND($E220/11,2),0)</f>
        <v>0</v>
      </c>
      <c r="M220" s="2" t="s">
        <v>38</v>
      </c>
      <c r="N220" s="2" t="s">
        <v>28</v>
      </c>
      <c r="O220" s="2" t="s">
        <v>337</v>
      </c>
    </row>
    <row r="221" customFormat="false" ht="15" hidden="false" customHeight="false" outlineLevel="0" collapsed="false">
      <c r="A221" s="2" t="s">
        <v>448</v>
      </c>
      <c r="B221" s="4" t="n">
        <v>46009</v>
      </c>
      <c r="C221" s="2" t="n">
        <v>24</v>
      </c>
      <c r="D221" s="2" t="s">
        <v>449</v>
      </c>
      <c r="E221" s="5" t="n">
        <v>2.5</v>
      </c>
      <c r="F221" s="5" t="n">
        <v>0</v>
      </c>
      <c r="G221" s="5" t="n">
        <v>2605.46</v>
      </c>
      <c r="H221" s="7" t="s">
        <v>105</v>
      </c>
      <c r="I221" s="7" t="s">
        <v>37</v>
      </c>
      <c r="J221" s="6" t="n">
        <v>0.3</v>
      </c>
      <c r="K221" s="2" t="s">
        <v>29</v>
      </c>
      <c r="L221" s="5" t="n">
        <f aca="false">IF($K221="Y",ROUND($E221/11,2),0)</f>
        <v>0</v>
      </c>
      <c r="M221" s="2"/>
      <c r="N221" s="2" t="s">
        <v>28</v>
      </c>
      <c r="O221" s="2" t="s">
        <v>337</v>
      </c>
    </row>
    <row r="222" customFormat="false" ht="15" hidden="false" customHeight="false" outlineLevel="0" collapsed="false">
      <c r="A222" s="2" t="s">
        <v>450</v>
      </c>
      <c r="B222" s="4" t="n">
        <v>46009</v>
      </c>
      <c r="C222" s="2" t="n">
        <v>24</v>
      </c>
      <c r="D222" s="2" t="s">
        <v>362</v>
      </c>
      <c r="E222" s="5" t="n">
        <v>22.71</v>
      </c>
      <c r="F222" s="5" t="n">
        <v>0</v>
      </c>
      <c r="G222" s="5" t="n">
        <v>2582.75</v>
      </c>
      <c r="H222" s="7" t="s">
        <v>308</v>
      </c>
      <c r="I222" s="7" t="s">
        <v>37</v>
      </c>
      <c r="J222" s="6" t="n">
        <v>0.6</v>
      </c>
      <c r="K222" s="2" t="s">
        <v>29</v>
      </c>
      <c r="L222" s="5" t="n">
        <f aca="false">IF($K222="Y",ROUND($E222/11,2),0)</f>
        <v>0</v>
      </c>
      <c r="M222" s="2"/>
      <c r="N222" s="2" t="s">
        <v>28</v>
      </c>
      <c r="O222" s="2" t="s">
        <v>337</v>
      </c>
    </row>
    <row r="223" customFormat="false" ht="15" hidden="false" customHeight="false" outlineLevel="0" collapsed="false">
      <c r="A223" s="2" t="s">
        <v>451</v>
      </c>
      <c r="B223" s="4" t="n">
        <v>46009</v>
      </c>
      <c r="C223" s="2" t="n">
        <v>24</v>
      </c>
      <c r="D223" s="2" t="s">
        <v>452</v>
      </c>
      <c r="E223" s="5" t="n">
        <v>650</v>
      </c>
      <c r="F223" s="5" t="n">
        <v>0</v>
      </c>
      <c r="G223" s="5" t="n">
        <v>1932.75</v>
      </c>
      <c r="H223" s="7" t="s">
        <v>242</v>
      </c>
      <c r="I223" s="7" t="s">
        <v>37</v>
      </c>
      <c r="J223" s="6" t="n">
        <v>0.8</v>
      </c>
      <c r="K223" s="2" t="s">
        <v>29</v>
      </c>
      <c r="L223" s="5" t="n">
        <f aca="false">IF($K223="Y",ROUND($E223/11,2),0)</f>
        <v>0</v>
      </c>
      <c r="M223" s="2"/>
      <c r="N223" s="2" t="s">
        <v>28</v>
      </c>
      <c r="O223" s="2" t="s">
        <v>337</v>
      </c>
    </row>
    <row r="224" customFormat="false" ht="15" hidden="false" customHeight="false" outlineLevel="0" collapsed="false">
      <c r="A224" s="2" t="s">
        <v>453</v>
      </c>
      <c r="B224" s="4" t="n">
        <v>46009</v>
      </c>
      <c r="C224" s="2" t="n">
        <v>24</v>
      </c>
      <c r="D224" s="2" t="s">
        <v>454</v>
      </c>
      <c r="E224" s="5" t="n">
        <v>1000</v>
      </c>
      <c r="F224" s="5" t="n">
        <v>0</v>
      </c>
      <c r="G224" s="5" t="n">
        <v>932.75</v>
      </c>
      <c r="H224" s="7" t="s">
        <v>242</v>
      </c>
      <c r="I224" s="7" t="s">
        <v>37</v>
      </c>
      <c r="J224" s="6" t="n">
        <v>0.8</v>
      </c>
      <c r="K224" s="2" t="s">
        <v>29</v>
      </c>
      <c r="L224" s="5" t="n">
        <f aca="false">IF($K224="Y",ROUND($E224/11,2),0)</f>
        <v>0</v>
      </c>
      <c r="M224" s="2"/>
      <c r="N224" s="2" t="s">
        <v>28</v>
      </c>
      <c r="O224" s="2" t="s">
        <v>337</v>
      </c>
    </row>
    <row r="225" customFormat="false" ht="15" hidden="false" customHeight="false" outlineLevel="0" collapsed="false">
      <c r="A225" s="2" t="s">
        <v>455</v>
      </c>
      <c r="B225" s="4" t="n">
        <v>46010</v>
      </c>
      <c r="C225" s="2" t="n">
        <v>24</v>
      </c>
      <c r="D225" s="2" t="s">
        <v>456</v>
      </c>
      <c r="E225" s="5" t="n">
        <v>0</v>
      </c>
      <c r="F225" s="5" t="n">
        <v>462.5</v>
      </c>
      <c r="G225" s="5" t="n">
        <v>1395.25</v>
      </c>
      <c r="H225" s="7" t="s">
        <v>51</v>
      </c>
      <c r="I225" s="7" t="s">
        <v>27</v>
      </c>
      <c r="J225" s="6" t="n">
        <v>0.55</v>
      </c>
      <c r="K225" s="2" t="s">
        <v>29</v>
      </c>
      <c r="L225" s="5" t="n">
        <f aca="false">IF($K225="Y",ROUND($E225/11,2),0)</f>
        <v>0</v>
      </c>
      <c r="M225" s="2"/>
      <c r="N225" s="2" t="s">
        <v>28</v>
      </c>
      <c r="O225" s="2" t="s">
        <v>337</v>
      </c>
    </row>
    <row r="226" customFormat="false" ht="15" hidden="false" customHeight="false" outlineLevel="0" collapsed="false">
      <c r="A226" s="2" t="s">
        <v>457</v>
      </c>
      <c r="B226" s="4" t="n">
        <v>46010</v>
      </c>
      <c r="C226" s="2" t="n">
        <v>24</v>
      </c>
      <c r="D226" s="2" t="s">
        <v>458</v>
      </c>
      <c r="E226" s="5" t="n">
        <v>50</v>
      </c>
      <c r="F226" s="5" t="n">
        <v>0</v>
      </c>
      <c r="G226" s="5" t="n">
        <v>1345.25</v>
      </c>
      <c r="H226" s="7" t="s">
        <v>36</v>
      </c>
      <c r="I226" s="7" t="s">
        <v>37</v>
      </c>
      <c r="J226" s="6" t="n">
        <v>0.7</v>
      </c>
      <c r="K226" s="2" t="s">
        <v>29</v>
      </c>
      <c r="L226" s="5" t="n">
        <f aca="false">IF($K226="Y",ROUND($E226/11,2),0)</f>
        <v>0</v>
      </c>
      <c r="M226" s="2" t="s">
        <v>38</v>
      </c>
      <c r="N226" s="2" t="s">
        <v>28</v>
      </c>
      <c r="O226" s="2" t="s">
        <v>337</v>
      </c>
    </row>
    <row r="227" customFormat="false" ht="15" hidden="false" customHeight="false" outlineLevel="0" collapsed="false">
      <c r="A227" s="2" t="s">
        <v>459</v>
      </c>
      <c r="B227" s="4" t="n">
        <v>46010</v>
      </c>
      <c r="C227" s="2" t="n">
        <v>24</v>
      </c>
      <c r="D227" s="2" t="s">
        <v>460</v>
      </c>
      <c r="E227" s="5" t="n">
        <v>340</v>
      </c>
      <c r="F227" s="5" t="n">
        <v>0</v>
      </c>
      <c r="G227" s="5" t="n">
        <v>1005.25</v>
      </c>
      <c r="H227" s="7" t="s">
        <v>36</v>
      </c>
      <c r="I227" s="7" t="s">
        <v>37</v>
      </c>
      <c r="J227" s="6" t="n">
        <v>0.7</v>
      </c>
      <c r="K227" s="2" t="s">
        <v>29</v>
      </c>
      <c r="L227" s="5" t="n">
        <f aca="false">IF($K227="Y",ROUND($E227/11,2),0)</f>
        <v>0</v>
      </c>
      <c r="M227" s="2" t="s">
        <v>38</v>
      </c>
      <c r="N227" s="2" t="s">
        <v>28</v>
      </c>
      <c r="O227" s="2" t="s">
        <v>337</v>
      </c>
    </row>
    <row r="228" customFormat="false" ht="15" hidden="false" customHeight="false" outlineLevel="0" collapsed="false">
      <c r="A228" s="2" t="s">
        <v>461</v>
      </c>
      <c r="B228" s="4" t="n">
        <v>46043</v>
      </c>
      <c r="C228" s="2" t="n">
        <v>26</v>
      </c>
      <c r="D228" s="2" t="s">
        <v>462</v>
      </c>
      <c r="E228" s="5" t="n">
        <v>45.03</v>
      </c>
      <c r="F228" s="5" t="n">
        <v>0</v>
      </c>
      <c r="G228" s="5" t="n">
        <v>650.92</v>
      </c>
      <c r="H228" s="2" t="s">
        <v>26</v>
      </c>
      <c r="I228" s="2" t="s">
        <v>27</v>
      </c>
      <c r="J228" s="6" t="n">
        <v>0.7</v>
      </c>
      <c r="K228" s="2" t="s">
        <v>28</v>
      </c>
      <c r="L228" s="5" t="n">
        <f aca="false">IF($K228="Y",ROUND($E228/11,2),0)</f>
        <v>4.09</v>
      </c>
      <c r="M228" s="2"/>
      <c r="N228" s="2" t="s">
        <v>29</v>
      </c>
      <c r="O228" s="2" t="s">
        <v>463</v>
      </c>
    </row>
    <row r="229" customFormat="false" ht="15" hidden="false" customHeight="false" outlineLevel="0" collapsed="false">
      <c r="A229" s="2" t="s">
        <v>464</v>
      </c>
      <c r="B229" s="4" t="n">
        <v>46044</v>
      </c>
      <c r="C229" s="2" t="n">
        <v>26</v>
      </c>
      <c r="D229" s="2" t="s">
        <v>465</v>
      </c>
      <c r="E229" s="5" t="n">
        <v>3.03</v>
      </c>
      <c r="F229" s="5" t="n">
        <v>0</v>
      </c>
      <c r="G229" s="5" t="n">
        <v>647.89</v>
      </c>
      <c r="H229" s="7" t="s">
        <v>105</v>
      </c>
      <c r="I229" s="7" t="s">
        <v>37</v>
      </c>
      <c r="J229" s="6" t="n">
        <v>0.3</v>
      </c>
      <c r="K229" s="2" t="s">
        <v>29</v>
      </c>
      <c r="L229" s="5" t="n">
        <f aca="false">IF($K229="Y",ROUND($E229/11,2),0)</f>
        <v>0</v>
      </c>
      <c r="M229" s="2"/>
      <c r="N229" s="2" t="s">
        <v>28</v>
      </c>
      <c r="O229" s="2" t="s">
        <v>463</v>
      </c>
    </row>
    <row r="230" customFormat="false" ht="15" hidden="false" customHeight="false" outlineLevel="0" collapsed="false">
      <c r="A230" s="2" t="s">
        <v>466</v>
      </c>
      <c r="B230" s="4" t="n">
        <v>46044</v>
      </c>
      <c r="C230" s="2" t="n">
        <v>26</v>
      </c>
      <c r="D230" s="2" t="s">
        <v>467</v>
      </c>
      <c r="E230" s="5" t="n">
        <v>5.04</v>
      </c>
      <c r="F230" s="5" t="n">
        <v>0</v>
      </c>
      <c r="G230" s="5" t="n">
        <v>642.85</v>
      </c>
      <c r="H230" s="7" t="s">
        <v>105</v>
      </c>
      <c r="I230" s="7" t="s">
        <v>37</v>
      </c>
      <c r="J230" s="6" t="n">
        <v>0.3</v>
      </c>
      <c r="K230" s="2" t="s">
        <v>29</v>
      </c>
      <c r="L230" s="5" t="n">
        <f aca="false">IF($K230="Y",ROUND($E230/11,2),0)</f>
        <v>0</v>
      </c>
      <c r="M230" s="2"/>
      <c r="N230" s="2" t="s">
        <v>28</v>
      </c>
      <c r="O230" s="2" t="s">
        <v>463</v>
      </c>
    </row>
    <row r="231" customFormat="false" ht="15" hidden="false" customHeight="false" outlineLevel="0" collapsed="false">
      <c r="A231" s="2" t="s">
        <v>468</v>
      </c>
      <c r="B231" s="4" t="n">
        <v>46045</v>
      </c>
      <c r="C231" s="2" t="n">
        <v>26</v>
      </c>
      <c r="D231" s="2" t="s">
        <v>469</v>
      </c>
      <c r="E231" s="5" t="n">
        <v>0</v>
      </c>
      <c r="F231" s="5" t="n">
        <v>100</v>
      </c>
      <c r="G231" s="5" t="n">
        <v>742.85</v>
      </c>
      <c r="H231" s="7" t="s">
        <v>51</v>
      </c>
      <c r="I231" s="7" t="s">
        <v>27</v>
      </c>
      <c r="J231" s="6" t="n">
        <v>0.55</v>
      </c>
      <c r="K231" s="2" t="s">
        <v>29</v>
      </c>
      <c r="L231" s="5" t="n">
        <f aca="false">IF($K231="Y",ROUND($E231/11,2),0)</f>
        <v>0</v>
      </c>
      <c r="M231" s="2"/>
      <c r="N231" s="2" t="s">
        <v>28</v>
      </c>
      <c r="O231" s="2" t="s">
        <v>463</v>
      </c>
    </row>
    <row r="232" customFormat="false" ht="15" hidden="false" customHeight="false" outlineLevel="0" collapsed="false">
      <c r="A232" s="2" t="s">
        <v>470</v>
      </c>
      <c r="B232" s="4" t="n">
        <v>46045</v>
      </c>
      <c r="C232" s="2" t="n">
        <v>26</v>
      </c>
      <c r="D232" s="2" t="s">
        <v>471</v>
      </c>
      <c r="E232" s="5" t="n">
        <v>279.72</v>
      </c>
      <c r="F232" s="5" t="n">
        <v>0</v>
      </c>
      <c r="G232" s="5" t="n">
        <v>463.13</v>
      </c>
      <c r="H232" s="7" t="s">
        <v>105</v>
      </c>
      <c r="I232" s="7" t="s">
        <v>37</v>
      </c>
      <c r="J232" s="6" t="n">
        <v>0.3</v>
      </c>
      <c r="K232" s="2" t="s">
        <v>29</v>
      </c>
      <c r="L232" s="5" t="n">
        <f aca="false">IF($K232="Y",ROUND($E232/11,2),0)</f>
        <v>0</v>
      </c>
      <c r="M232" s="2"/>
      <c r="N232" s="2" t="s">
        <v>28</v>
      </c>
      <c r="O232" s="2" t="s">
        <v>463</v>
      </c>
    </row>
    <row r="233" customFormat="false" ht="15" hidden="false" customHeight="false" outlineLevel="0" collapsed="false">
      <c r="A233" s="2" t="s">
        <v>472</v>
      </c>
      <c r="B233" s="4" t="n">
        <v>46045</v>
      </c>
      <c r="C233" s="2" t="n">
        <v>26</v>
      </c>
      <c r="D233" s="2" t="s">
        <v>473</v>
      </c>
      <c r="E233" s="5" t="n">
        <v>359.5</v>
      </c>
      <c r="F233" s="5" t="n">
        <v>0</v>
      </c>
      <c r="G233" s="5" t="n">
        <v>103.63</v>
      </c>
      <c r="H233" s="2" t="s">
        <v>33</v>
      </c>
      <c r="I233" s="2" t="s">
        <v>27</v>
      </c>
      <c r="J233" s="6" t="n">
        <v>0.8</v>
      </c>
      <c r="K233" s="2" t="s">
        <v>28</v>
      </c>
      <c r="L233" s="5" t="n">
        <f aca="false">IF($K233="Y",ROUND($E233/11,2),0)</f>
        <v>32.68</v>
      </c>
      <c r="M233" s="2"/>
      <c r="N233" s="2" t="s">
        <v>29</v>
      </c>
      <c r="O233" s="2" t="s">
        <v>463</v>
      </c>
    </row>
    <row r="234" customFormat="false" ht="15" hidden="false" customHeight="false" outlineLevel="0" collapsed="false">
      <c r="A234" s="2" t="s">
        <v>474</v>
      </c>
      <c r="B234" s="4" t="n">
        <v>46049</v>
      </c>
      <c r="C234" s="2" t="n">
        <v>26</v>
      </c>
      <c r="D234" s="2" t="s">
        <v>475</v>
      </c>
      <c r="E234" s="5" t="n">
        <v>0</v>
      </c>
      <c r="F234" s="5" t="n">
        <v>221.92</v>
      </c>
      <c r="G234" s="5" t="n">
        <v>325.55</v>
      </c>
      <c r="H234" s="7" t="s">
        <v>51</v>
      </c>
      <c r="I234" s="7" t="s">
        <v>27</v>
      </c>
      <c r="J234" s="6" t="n">
        <v>0.55</v>
      </c>
      <c r="K234" s="2" t="s">
        <v>29</v>
      </c>
      <c r="L234" s="5" t="n">
        <f aca="false">IF($K234="Y",ROUND($E234/11,2),0)</f>
        <v>0</v>
      </c>
      <c r="M234" s="2"/>
      <c r="N234" s="2" t="s">
        <v>28</v>
      </c>
      <c r="O234" s="2" t="s">
        <v>463</v>
      </c>
    </row>
    <row r="235" customFormat="false" ht="15" hidden="false" customHeight="false" outlineLevel="0" collapsed="false">
      <c r="A235" s="2" t="s">
        <v>476</v>
      </c>
      <c r="B235" s="4" t="n">
        <v>46049</v>
      </c>
      <c r="C235" s="2" t="n">
        <v>26</v>
      </c>
      <c r="D235" s="2" t="s">
        <v>477</v>
      </c>
      <c r="E235" s="5" t="n">
        <v>0</v>
      </c>
      <c r="F235" s="5" t="n">
        <v>359.5</v>
      </c>
      <c r="G235" s="5" t="n">
        <v>685.05</v>
      </c>
      <c r="H235" s="7" t="s">
        <v>51</v>
      </c>
      <c r="I235" s="7" t="s">
        <v>27</v>
      </c>
      <c r="J235" s="6" t="n">
        <v>0.55</v>
      </c>
      <c r="K235" s="2" t="s">
        <v>29</v>
      </c>
      <c r="L235" s="5" t="n">
        <f aca="false">IF($K235="Y",ROUND($E235/11,2),0)</f>
        <v>0</v>
      </c>
      <c r="M235" s="2"/>
      <c r="N235" s="2" t="s">
        <v>28</v>
      </c>
      <c r="O235" s="2" t="s">
        <v>463</v>
      </c>
    </row>
    <row r="236" customFormat="false" ht="15" hidden="false" customHeight="false" outlineLevel="0" collapsed="false">
      <c r="A236" s="2" t="s">
        <v>478</v>
      </c>
      <c r="B236" s="4" t="n">
        <v>46049</v>
      </c>
      <c r="C236" s="2" t="n">
        <v>26</v>
      </c>
      <c r="D236" s="2" t="s">
        <v>479</v>
      </c>
      <c r="E236" s="5" t="n">
        <v>0</v>
      </c>
      <c r="F236" s="5" t="n">
        <v>0.01</v>
      </c>
      <c r="G236" s="5" t="n">
        <v>685.06</v>
      </c>
      <c r="H236" s="7" t="s">
        <v>51</v>
      </c>
      <c r="I236" s="7" t="s">
        <v>27</v>
      </c>
      <c r="J236" s="6" t="n">
        <v>0.55</v>
      </c>
      <c r="K236" s="2" t="s">
        <v>29</v>
      </c>
      <c r="L236" s="5" t="n">
        <f aca="false">IF($K236="Y",ROUND($E236/11,2),0)</f>
        <v>0</v>
      </c>
      <c r="M236" s="2"/>
      <c r="N236" s="2" t="s">
        <v>28</v>
      </c>
      <c r="O236" s="2" t="s">
        <v>463</v>
      </c>
    </row>
    <row r="237" customFormat="false" ht="15" hidden="false" customHeight="false" outlineLevel="0" collapsed="false">
      <c r="A237" s="2" t="s">
        <v>480</v>
      </c>
      <c r="B237" s="4" t="n">
        <v>46049</v>
      </c>
      <c r="C237" s="2" t="n">
        <v>26</v>
      </c>
      <c r="D237" s="2" t="s">
        <v>481</v>
      </c>
      <c r="E237" s="5" t="n">
        <v>0</v>
      </c>
      <c r="F237" s="5" t="n">
        <v>0.03</v>
      </c>
      <c r="G237" s="5" t="n">
        <v>685.09</v>
      </c>
      <c r="H237" s="7" t="s">
        <v>51</v>
      </c>
      <c r="I237" s="7" t="s">
        <v>27</v>
      </c>
      <c r="J237" s="6" t="n">
        <v>0.55</v>
      </c>
      <c r="K237" s="2" t="s">
        <v>29</v>
      </c>
      <c r="L237" s="5" t="n">
        <f aca="false">IF($K237="Y",ROUND($E237/11,2),0)</f>
        <v>0</v>
      </c>
      <c r="M237" s="2"/>
      <c r="N237" s="2" t="s">
        <v>28</v>
      </c>
      <c r="O237" s="2" t="s">
        <v>463</v>
      </c>
    </row>
    <row r="238" customFormat="false" ht="15" hidden="false" customHeight="false" outlineLevel="0" collapsed="false">
      <c r="A238" s="2" t="s">
        <v>482</v>
      </c>
      <c r="B238" s="4" t="n">
        <v>46050</v>
      </c>
      <c r="C238" s="2" t="n">
        <v>26</v>
      </c>
      <c r="D238" s="2" t="s">
        <v>483</v>
      </c>
      <c r="E238" s="5" t="n">
        <v>0</v>
      </c>
      <c r="F238" s="5" t="n">
        <v>4400</v>
      </c>
      <c r="G238" s="5" t="n">
        <v>5085.09</v>
      </c>
      <c r="H238" s="7" t="s">
        <v>51</v>
      </c>
      <c r="I238" s="7" t="s">
        <v>27</v>
      </c>
      <c r="J238" s="6" t="n">
        <v>0.55</v>
      </c>
      <c r="K238" s="2" t="s">
        <v>29</v>
      </c>
      <c r="L238" s="5" t="n">
        <f aca="false">IF($K238="Y",ROUND($E238/11,2),0)</f>
        <v>0</v>
      </c>
      <c r="M238" s="2"/>
      <c r="N238" s="2" t="s">
        <v>28</v>
      </c>
      <c r="O238" s="2" t="s">
        <v>463</v>
      </c>
    </row>
    <row r="239" customFormat="false" ht="15" hidden="false" customHeight="false" outlineLevel="0" collapsed="false">
      <c r="A239" s="2" t="s">
        <v>484</v>
      </c>
      <c r="B239" s="4" t="n">
        <v>46050</v>
      </c>
      <c r="C239" s="2" t="n">
        <v>26</v>
      </c>
      <c r="D239" s="2" t="s">
        <v>485</v>
      </c>
      <c r="E239" s="5" t="n">
        <v>20</v>
      </c>
      <c r="F239" s="5" t="n">
        <v>0</v>
      </c>
      <c r="G239" s="5" t="n">
        <v>5065.09</v>
      </c>
      <c r="H239" s="7" t="s">
        <v>36</v>
      </c>
      <c r="I239" s="7" t="s">
        <v>37</v>
      </c>
      <c r="J239" s="6" t="n">
        <v>0.7</v>
      </c>
      <c r="K239" s="2" t="s">
        <v>29</v>
      </c>
      <c r="L239" s="5" t="n">
        <f aca="false">IF($K239="Y",ROUND($E239/11,2),0)</f>
        <v>0</v>
      </c>
      <c r="M239" s="2" t="s">
        <v>38</v>
      </c>
      <c r="N239" s="2" t="s">
        <v>28</v>
      </c>
      <c r="O239" s="2" t="s">
        <v>463</v>
      </c>
    </row>
    <row r="240" customFormat="false" ht="15" hidden="false" customHeight="false" outlineLevel="0" collapsed="false">
      <c r="A240" s="2" t="s">
        <v>486</v>
      </c>
      <c r="B240" s="4" t="n">
        <v>46050</v>
      </c>
      <c r="C240" s="2" t="n">
        <v>26</v>
      </c>
      <c r="D240" s="2" t="s">
        <v>487</v>
      </c>
      <c r="E240" s="5" t="n">
        <v>800</v>
      </c>
      <c r="F240" s="5" t="n">
        <v>0</v>
      </c>
      <c r="G240" s="5" t="n">
        <v>4265.09</v>
      </c>
      <c r="H240" s="7" t="s">
        <v>105</v>
      </c>
      <c r="I240" s="7" t="s">
        <v>37</v>
      </c>
      <c r="J240" s="6" t="n">
        <v>0.3</v>
      </c>
      <c r="K240" s="2" t="s">
        <v>29</v>
      </c>
      <c r="L240" s="5" t="n">
        <f aca="false">IF($K240="Y",ROUND($E240/11,2),0)</f>
        <v>0</v>
      </c>
      <c r="M240" s="2"/>
      <c r="N240" s="2" t="s">
        <v>28</v>
      </c>
      <c r="O240" s="2" t="s">
        <v>463</v>
      </c>
    </row>
    <row r="241" customFormat="false" ht="15" hidden="false" customHeight="false" outlineLevel="0" collapsed="false">
      <c r="A241" s="2" t="s">
        <v>488</v>
      </c>
      <c r="B241" s="4" t="n">
        <v>46051</v>
      </c>
      <c r="C241" s="2" t="n">
        <v>26</v>
      </c>
      <c r="D241" s="2" t="s">
        <v>489</v>
      </c>
      <c r="E241" s="5" t="n">
        <v>0</v>
      </c>
      <c r="F241" s="5" t="n">
        <v>1.28</v>
      </c>
      <c r="G241" s="5" t="n">
        <v>4266.37</v>
      </c>
      <c r="H241" s="7" t="s">
        <v>51</v>
      </c>
      <c r="I241" s="7" t="s">
        <v>27</v>
      </c>
      <c r="J241" s="6" t="n">
        <v>0.55</v>
      </c>
      <c r="K241" s="2" t="s">
        <v>29</v>
      </c>
      <c r="L241" s="5" t="n">
        <f aca="false">IF($K241="Y",ROUND($E241/11,2),0)</f>
        <v>0</v>
      </c>
      <c r="M241" s="2"/>
      <c r="N241" s="2" t="s">
        <v>28</v>
      </c>
      <c r="O241" s="2" t="s">
        <v>463</v>
      </c>
    </row>
    <row r="242" customFormat="false" ht="15" hidden="false" customHeight="false" outlineLevel="0" collapsed="false">
      <c r="A242" s="2" t="s">
        <v>490</v>
      </c>
      <c r="B242" s="4" t="n">
        <v>46051</v>
      </c>
      <c r="C242" s="2" t="n">
        <v>26</v>
      </c>
      <c r="D242" s="2" t="s">
        <v>489</v>
      </c>
      <c r="E242" s="5" t="n">
        <v>23.07</v>
      </c>
      <c r="F242" s="5" t="n">
        <v>0</v>
      </c>
      <c r="G242" s="5" t="n">
        <v>4243.3</v>
      </c>
      <c r="H242" s="7" t="s">
        <v>294</v>
      </c>
      <c r="I242" s="7" t="s">
        <v>37</v>
      </c>
      <c r="J242" s="6" t="n">
        <v>0.5</v>
      </c>
      <c r="K242" s="2" t="s">
        <v>29</v>
      </c>
      <c r="L242" s="5" t="n">
        <f aca="false">IF($K242="Y",ROUND($E242/11,2),0)</f>
        <v>0</v>
      </c>
      <c r="M242" s="2"/>
      <c r="N242" s="2" t="s">
        <v>28</v>
      </c>
      <c r="O242" s="2" t="s">
        <v>463</v>
      </c>
    </row>
    <row r="243" customFormat="false" ht="15" hidden="false" customHeight="false" outlineLevel="0" collapsed="false">
      <c r="A243" s="2" t="s">
        <v>491</v>
      </c>
      <c r="B243" s="4" t="n">
        <v>46051</v>
      </c>
      <c r="C243" s="2" t="n">
        <v>26</v>
      </c>
      <c r="D243" s="2" t="s">
        <v>489</v>
      </c>
      <c r="E243" s="5" t="n">
        <v>25.48</v>
      </c>
      <c r="F243" s="5" t="n">
        <v>0</v>
      </c>
      <c r="G243" s="5" t="n">
        <v>4217.82</v>
      </c>
      <c r="H243" s="7" t="s">
        <v>294</v>
      </c>
      <c r="I243" s="7" t="s">
        <v>37</v>
      </c>
      <c r="J243" s="6" t="n">
        <v>0.5</v>
      </c>
      <c r="K243" s="2" t="s">
        <v>29</v>
      </c>
      <c r="L243" s="5" t="n">
        <f aca="false">IF($K243="Y",ROUND($E243/11,2),0)</f>
        <v>0</v>
      </c>
      <c r="M243" s="2"/>
      <c r="N243" s="2" t="s">
        <v>28</v>
      </c>
      <c r="O243" s="2" t="s">
        <v>463</v>
      </c>
    </row>
    <row r="244" customFormat="false" ht="15" hidden="false" customHeight="false" outlineLevel="0" collapsed="false">
      <c r="A244" s="2" t="s">
        <v>492</v>
      </c>
      <c r="B244" s="4" t="n">
        <v>46051</v>
      </c>
      <c r="C244" s="2" t="n">
        <v>26</v>
      </c>
      <c r="D244" s="2" t="s">
        <v>493</v>
      </c>
      <c r="E244" s="5" t="n">
        <v>49.9</v>
      </c>
      <c r="F244" s="5" t="n">
        <v>0</v>
      </c>
      <c r="G244" s="5" t="n">
        <v>4167.92</v>
      </c>
      <c r="H244" s="7" t="s">
        <v>105</v>
      </c>
      <c r="I244" s="7" t="s">
        <v>37</v>
      </c>
      <c r="J244" s="6" t="n">
        <v>0.3</v>
      </c>
      <c r="K244" s="2" t="s">
        <v>29</v>
      </c>
      <c r="L244" s="5" t="n">
        <f aca="false">IF($K244="Y",ROUND($E244/11,2),0)</f>
        <v>0</v>
      </c>
      <c r="M244" s="2"/>
      <c r="N244" s="2" t="s">
        <v>28</v>
      </c>
      <c r="O244" s="2" t="s">
        <v>463</v>
      </c>
    </row>
    <row r="245" customFormat="false" ht="15" hidden="false" customHeight="false" outlineLevel="0" collapsed="false">
      <c r="A245" s="2" t="s">
        <v>494</v>
      </c>
      <c r="B245" s="4" t="n">
        <v>46051</v>
      </c>
      <c r="C245" s="2" t="n">
        <v>26</v>
      </c>
      <c r="D245" s="2" t="s">
        <v>241</v>
      </c>
      <c r="E245" s="5" t="n">
        <v>2000</v>
      </c>
      <c r="F245" s="5" t="n">
        <v>0</v>
      </c>
      <c r="G245" s="5" t="n">
        <v>2167.92</v>
      </c>
      <c r="H245" s="7" t="s">
        <v>242</v>
      </c>
      <c r="I245" s="7" t="s">
        <v>37</v>
      </c>
      <c r="J245" s="6" t="n">
        <v>0.8</v>
      </c>
      <c r="K245" s="2" t="s">
        <v>29</v>
      </c>
      <c r="L245" s="5" t="n">
        <f aca="false">IF($K245="Y",ROUND($E245/11,2),0)</f>
        <v>0</v>
      </c>
      <c r="M245" s="2"/>
      <c r="N245" s="2" t="s">
        <v>28</v>
      </c>
      <c r="O245" s="2" t="s">
        <v>463</v>
      </c>
    </row>
    <row r="246" customFormat="false" ht="15" hidden="false" customHeight="false" outlineLevel="0" collapsed="false">
      <c r="A246" s="2" t="s">
        <v>495</v>
      </c>
      <c r="B246" s="4" t="n">
        <v>46055</v>
      </c>
      <c r="C246" s="2" t="n">
        <v>26</v>
      </c>
      <c r="D246" s="2" t="s">
        <v>475</v>
      </c>
      <c r="E246" s="5" t="n">
        <v>0</v>
      </c>
      <c r="F246" s="5" t="n">
        <v>316.8</v>
      </c>
      <c r="G246" s="5" t="n">
        <v>2484.72</v>
      </c>
      <c r="H246" s="7" t="s">
        <v>51</v>
      </c>
      <c r="I246" s="7" t="s">
        <v>27</v>
      </c>
      <c r="J246" s="6" t="n">
        <v>0.55</v>
      </c>
      <c r="K246" s="2" t="s">
        <v>29</v>
      </c>
      <c r="L246" s="5" t="n">
        <f aca="false">IF($K246="Y",ROUND($E246/11,2),0)</f>
        <v>0</v>
      </c>
      <c r="M246" s="2"/>
      <c r="N246" s="2" t="s">
        <v>28</v>
      </c>
      <c r="O246" s="2" t="s">
        <v>496</v>
      </c>
    </row>
    <row r="247" customFormat="false" ht="15" hidden="false" customHeight="false" outlineLevel="0" collapsed="false">
      <c r="A247" s="2" t="s">
        <v>497</v>
      </c>
      <c r="B247" s="4" t="n">
        <v>46055</v>
      </c>
      <c r="C247" s="2" t="n">
        <v>26</v>
      </c>
      <c r="D247" s="2" t="s">
        <v>498</v>
      </c>
      <c r="E247" s="5" t="n">
        <v>0</v>
      </c>
      <c r="F247" s="5" t="n">
        <v>6000</v>
      </c>
      <c r="G247" s="5" t="n">
        <v>8484.72</v>
      </c>
      <c r="H247" s="7" t="s">
        <v>51</v>
      </c>
      <c r="I247" s="7" t="s">
        <v>27</v>
      </c>
      <c r="J247" s="6" t="n">
        <v>0.55</v>
      </c>
      <c r="K247" s="2" t="s">
        <v>29</v>
      </c>
      <c r="L247" s="5" t="n">
        <f aca="false">IF($K247="Y",ROUND($E247/11,2),0)</f>
        <v>0</v>
      </c>
      <c r="M247" s="2"/>
      <c r="N247" s="2" t="s">
        <v>28</v>
      </c>
      <c r="O247" s="2" t="s">
        <v>496</v>
      </c>
    </row>
    <row r="248" customFormat="false" ht="15" hidden="false" customHeight="false" outlineLevel="0" collapsed="false">
      <c r="A248" s="2" t="s">
        <v>499</v>
      </c>
      <c r="B248" s="4" t="n">
        <v>46055</v>
      </c>
      <c r="C248" s="2" t="n">
        <v>26</v>
      </c>
      <c r="D248" s="2" t="s">
        <v>500</v>
      </c>
      <c r="E248" s="5" t="n">
        <v>7.11</v>
      </c>
      <c r="F248" s="5" t="n">
        <v>0</v>
      </c>
      <c r="G248" s="5" t="n">
        <v>8477.61</v>
      </c>
      <c r="H248" s="7" t="s">
        <v>105</v>
      </c>
      <c r="I248" s="7" t="s">
        <v>37</v>
      </c>
      <c r="J248" s="6" t="n">
        <v>0.3</v>
      </c>
      <c r="K248" s="2" t="s">
        <v>29</v>
      </c>
      <c r="L248" s="5" t="n">
        <f aca="false">IF($K248="Y",ROUND($E248/11,2),0)</f>
        <v>0</v>
      </c>
      <c r="M248" s="2"/>
      <c r="N248" s="2" t="s">
        <v>28</v>
      </c>
      <c r="O248" s="2" t="s">
        <v>496</v>
      </c>
    </row>
    <row r="249" customFormat="false" ht="15" hidden="false" customHeight="false" outlineLevel="0" collapsed="false">
      <c r="A249" s="2" t="s">
        <v>501</v>
      </c>
      <c r="B249" s="4" t="n">
        <v>46055</v>
      </c>
      <c r="C249" s="2" t="n">
        <v>26</v>
      </c>
      <c r="D249" s="2" t="s">
        <v>502</v>
      </c>
      <c r="E249" s="5" t="n">
        <v>22</v>
      </c>
      <c r="F249" s="5" t="n">
        <v>0</v>
      </c>
      <c r="G249" s="5" t="n">
        <v>8455.61</v>
      </c>
      <c r="H249" s="7" t="s">
        <v>105</v>
      </c>
      <c r="I249" s="7" t="s">
        <v>37</v>
      </c>
      <c r="J249" s="6" t="n">
        <v>0.3</v>
      </c>
      <c r="K249" s="2" t="s">
        <v>29</v>
      </c>
      <c r="L249" s="5" t="n">
        <f aca="false">IF($K249="Y",ROUND($E249/11,2),0)</f>
        <v>0</v>
      </c>
      <c r="M249" s="2"/>
      <c r="N249" s="2" t="s">
        <v>28</v>
      </c>
      <c r="O249" s="2" t="s">
        <v>496</v>
      </c>
    </row>
    <row r="250" customFormat="false" ht="15" hidden="false" customHeight="false" outlineLevel="0" collapsed="false">
      <c r="A250" s="2" t="s">
        <v>503</v>
      </c>
      <c r="B250" s="4" t="n">
        <v>46055</v>
      </c>
      <c r="C250" s="2" t="n">
        <v>26</v>
      </c>
      <c r="D250" s="2" t="s">
        <v>504</v>
      </c>
      <c r="E250" s="5" t="n">
        <v>193.78</v>
      </c>
      <c r="F250" s="5" t="n">
        <v>0</v>
      </c>
      <c r="G250" s="5" t="n">
        <v>8261.83</v>
      </c>
      <c r="H250" s="7" t="s">
        <v>105</v>
      </c>
      <c r="I250" s="7" t="s">
        <v>37</v>
      </c>
      <c r="J250" s="6" t="n">
        <v>0.3</v>
      </c>
      <c r="K250" s="2" t="s">
        <v>29</v>
      </c>
      <c r="L250" s="5" t="n">
        <f aca="false">IF($K250="Y",ROUND($E250/11,2),0)</f>
        <v>0</v>
      </c>
      <c r="M250" s="2"/>
      <c r="N250" s="2" t="s">
        <v>28</v>
      </c>
      <c r="O250" s="2" t="s">
        <v>496</v>
      </c>
    </row>
    <row r="251" customFormat="false" ht="15" hidden="false" customHeight="false" outlineLevel="0" collapsed="false">
      <c r="A251" s="2" t="s">
        <v>505</v>
      </c>
      <c r="B251" s="4" t="n">
        <v>46055</v>
      </c>
      <c r="C251" s="2" t="n">
        <v>26</v>
      </c>
      <c r="D251" s="2" t="s">
        <v>506</v>
      </c>
      <c r="E251" s="5" t="n">
        <v>194.51</v>
      </c>
      <c r="F251" s="5" t="n">
        <v>0</v>
      </c>
      <c r="G251" s="5" t="n">
        <v>8067.32</v>
      </c>
      <c r="H251" s="2" t="s">
        <v>33</v>
      </c>
      <c r="I251" s="2" t="s">
        <v>27</v>
      </c>
      <c r="J251" s="6" t="n">
        <v>0.8</v>
      </c>
      <c r="K251" s="2" t="s">
        <v>28</v>
      </c>
      <c r="L251" s="5" t="n">
        <f aca="false">IF($K251="Y",ROUND($E251/11,2),0)</f>
        <v>17.68</v>
      </c>
      <c r="M251" s="2"/>
      <c r="N251" s="2" t="s">
        <v>29</v>
      </c>
      <c r="O251" s="2" t="s">
        <v>496</v>
      </c>
    </row>
    <row r="252" customFormat="false" ht="15" hidden="false" customHeight="false" outlineLevel="0" collapsed="false">
      <c r="A252" s="2" t="s">
        <v>507</v>
      </c>
      <c r="B252" s="4" t="n">
        <v>46055</v>
      </c>
      <c r="C252" s="2" t="n">
        <v>26</v>
      </c>
      <c r="D252" s="2" t="s">
        <v>508</v>
      </c>
      <c r="E252" s="5" t="n">
        <v>288</v>
      </c>
      <c r="F252" s="5" t="n">
        <v>0</v>
      </c>
      <c r="G252" s="5" t="n">
        <v>7779.32</v>
      </c>
      <c r="H252" s="7" t="s">
        <v>105</v>
      </c>
      <c r="I252" s="7" t="s">
        <v>37</v>
      </c>
      <c r="J252" s="6" t="n">
        <v>0.3</v>
      </c>
      <c r="K252" s="2" t="s">
        <v>29</v>
      </c>
      <c r="L252" s="5" t="n">
        <f aca="false">IF($K252="Y",ROUND($E252/11,2),0)</f>
        <v>0</v>
      </c>
      <c r="M252" s="2"/>
      <c r="N252" s="2" t="s">
        <v>28</v>
      </c>
      <c r="O252" s="2" t="s">
        <v>496</v>
      </c>
    </row>
    <row r="253" customFormat="false" ht="15" hidden="false" customHeight="false" outlineLevel="0" collapsed="false">
      <c r="A253" s="2" t="s">
        <v>509</v>
      </c>
      <c r="B253" s="4" t="n">
        <v>46055</v>
      </c>
      <c r="C253" s="2" t="n">
        <v>26</v>
      </c>
      <c r="D253" s="2" t="s">
        <v>504</v>
      </c>
      <c r="E253" s="5" t="n">
        <v>329.62</v>
      </c>
      <c r="F253" s="5" t="n">
        <v>0</v>
      </c>
      <c r="G253" s="5" t="n">
        <v>7449.7</v>
      </c>
      <c r="H253" s="7" t="s">
        <v>105</v>
      </c>
      <c r="I253" s="7" t="s">
        <v>37</v>
      </c>
      <c r="J253" s="6" t="n">
        <v>0.3</v>
      </c>
      <c r="K253" s="2" t="s">
        <v>29</v>
      </c>
      <c r="L253" s="5" t="n">
        <f aca="false">IF($K253="Y",ROUND($E253/11,2),0)</f>
        <v>0</v>
      </c>
      <c r="M253" s="2"/>
      <c r="N253" s="2" t="s">
        <v>28</v>
      </c>
      <c r="O253" s="2" t="s">
        <v>496</v>
      </c>
    </row>
    <row r="254" customFormat="false" ht="15" hidden="false" customHeight="false" outlineLevel="0" collapsed="false">
      <c r="A254" s="2" t="s">
        <v>510</v>
      </c>
      <c r="B254" s="4" t="n">
        <v>46055</v>
      </c>
      <c r="C254" s="2" t="n">
        <v>26</v>
      </c>
      <c r="D254" s="2" t="s">
        <v>511</v>
      </c>
      <c r="E254" s="5" t="n">
        <v>600</v>
      </c>
      <c r="F254" s="5" t="n">
        <v>0</v>
      </c>
      <c r="G254" s="5" t="n">
        <v>6849.7</v>
      </c>
      <c r="H254" s="7" t="s">
        <v>242</v>
      </c>
      <c r="I254" s="7" t="s">
        <v>37</v>
      </c>
      <c r="J254" s="6" t="n">
        <v>0.8</v>
      </c>
      <c r="K254" s="2" t="s">
        <v>29</v>
      </c>
      <c r="L254" s="5" t="n">
        <f aca="false">IF($K254="Y",ROUND($E254/11,2),0)</f>
        <v>0</v>
      </c>
      <c r="M254" s="2"/>
      <c r="N254" s="2" t="s">
        <v>28</v>
      </c>
      <c r="O254" s="2" t="s">
        <v>496</v>
      </c>
    </row>
    <row r="255" customFormat="false" ht="15" hidden="false" customHeight="false" outlineLevel="0" collapsed="false">
      <c r="A255" s="2" t="s">
        <v>512</v>
      </c>
      <c r="B255" s="4" t="n">
        <v>46055</v>
      </c>
      <c r="C255" s="2" t="n">
        <v>26</v>
      </c>
      <c r="D255" s="2" t="s">
        <v>513</v>
      </c>
      <c r="E255" s="5" t="n">
        <v>1059</v>
      </c>
      <c r="F255" s="5" t="n">
        <v>0</v>
      </c>
      <c r="G255" s="5" t="n">
        <v>5790.7</v>
      </c>
      <c r="H255" s="7" t="s">
        <v>105</v>
      </c>
      <c r="I255" s="7" t="s">
        <v>37</v>
      </c>
      <c r="J255" s="6" t="n">
        <v>0.3</v>
      </c>
      <c r="K255" s="2" t="s">
        <v>29</v>
      </c>
      <c r="L255" s="5" t="n">
        <f aca="false">IF($K255="Y",ROUND($E255/11,2),0)</f>
        <v>0</v>
      </c>
      <c r="M255" s="2"/>
      <c r="N255" s="2" t="s">
        <v>28</v>
      </c>
      <c r="O255" s="2" t="s">
        <v>496</v>
      </c>
    </row>
    <row r="256" customFormat="false" ht="15" hidden="false" customHeight="false" outlineLevel="0" collapsed="false">
      <c r="A256" s="2" t="s">
        <v>514</v>
      </c>
      <c r="B256" s="4" t="n">
        <v>46055</v>
      </c>
      <c r="C256" s="2" t="n">
        <v>26</v>
      </c>
      <c r="D256" s="2" t="s">
        <v>515</v>
      </c>
      <c r="E256" s="5" t="n">
        <v>2000</v>
      </c>
      <c r="F256" s="5" t="n">
        <v>0</v>
      </c>
      <c r="G256" s="5" t="n">
        <v>3790.7</v>
      </c>
      <c r="H256" s="7" t="s">
        <v>105</v>
      </c>
      <c r="I256" s="7" t="s">
        <v>37</v>
      </c>
      <c r="J256" s="6" t="n">
        <v>0.3</v>
      </c>
      <c r="K256" s="2" t="s">
        <v>29</v>
      </c>
      <c r="L256" s="5" t="n">
        <f aca="false">IF($K256="Y",ROUND($E256/11,2),0)</f>
        <v>0</v>
      </c>
      <c r="M256" s="2"/>
      <c r="N256" s="2" t="s">
        <v>28</v>
      </c>
      <c r="O256" s="2" t="s">
        <v>496</v>
      </c>
    </row>
    <row r="257" customFormat="false" ht="15" hidden="false" customHeight="false" outlineLevel="0" collapsed="false">
      <c r="A257" s="2" t="s">
        <v>516</v>
      </c>
      <c r="B257" s="4" t="n">
        <v>46055</v>
      </c>
      <c r="C257" s="2" t="n">
        <v>26</v>
      </c>
      <c r="D257" s="2" t="s">
        <v>517</v>
      </c>
      <c r="E257" s="5" t="n">
        <v>2941</v>
      </c>
      <c r="F257" s="5" t="n">
        <v>0</v>
      </c>
      <c r="G257" s="5" t="n">
        <v>849.7</v>
      </c>
      <c r="H257" s="7" t="s">
        <v>105</v>
      </c>
      <c r="I257" s="7" t="s">
        <v>37</v>
      </c>
      <c r="J257" s="6" t="n">
        <v>0.3</v>
      </c>
      <c r="K257" s="2" t="s">
        <v>29</v>
      </c>
      <c r="L257" s="5" t="n">
        <f aca="false">IF($K257="Y",ROUND($E257/11,2),0)</f>
        <v>0</v>
      </c>
      <c r="M257" s="2"/>
      <c r="N257" s="2" t="s">
        <v>28</v>
      </c>
      <c r="O257" s="2" t="s">
        <v>496</v>
      </c>
    </row>
    <row r="258" customFormat="false" ht="15" hidden="false" customHeight="false" outlineLevel="0" collapsed="false">
      <c r="A258" s="2" t="s">
        <v>518</v>
      </c>
      <c r="B258" s="4" t="n">
        <v>46056</v>
      </c>
      <c r="C258" s="2" t="n">
        <v>26</v>
      </c>
      <c r="D258" s="2" t="s">
        <v>519</v>
      </c>
      <c r="E258" s="5" t="n">
        <v>64.99</v>
      </c>
      <c r="F258" s="5" t="n">
        <v>0</v>
      </c>
      <c r="G258" s="5" t="n">
        <v>784.71</v>
      </c>
      <c r="H258" s="7" t="s">
        <v>105</v>
      </c>
      <c r="I258" s="7" t="s">
        <v>37</v>
      </c>
      <c r="J258" s="6" t="n">
        <v>0.3</v>
      </c>
      <c r="K258" s="2" t="s">
        <v>29</v>
      </c>
      <c r="L258" s="5" t="n">
        <f aca="false">IF($K258="Y",ROUND($E258/11,2),0)</f>
        <v>0</v>
      </c>
      <c r="M258" s="2"/>
      <c r="N258" s="2" t="s">
        <v>28</v>
      </c>
      <c r="O258" s="2" t="s">
        <v>496</v>
      </c>
    </row>
    <row r="259" customFormat="false" ht="15" hidden="false" customHeight="false" outlineLevel="0" collapsed="false">
      <c r="A259" s="2" t="s">
        <v>520</v>
      </c>
      <c r="B259" s="4" t="n">
        <v>46056</v>
      </c>
      <c r="C259" s="2" t="n">
        <v>26</v>
      </c>
      <c r="D259" s="2" t="s">
        <v>521</v>
      </c>
      <c r="E259" s="5" t="n">
        <v>400</v>
      </c>
      <c r="F259" s="5" t="n">
        <v>0</v>
      </c>
      <c r="G259" s="5" t="n">
        <v>384.71</v>
      </c>
      <c r="H259" s="7" t="s">
        <v>36</v>
      </c>
      <c r="I259" s="7" t="s">
        <v>37</v>
      </c>
      <c r="J259" s="6" t="n">
        <v>0.7</v>
      </c>
      <c r="K259" s="2" t="s">
        <v>29</v>
      </c>
      <c r="L259" s="5" t="n">
        <f aca="false">IF($K259="Y",ROUND($E259/11,2),0)</f>
        <v>0</v>
      </c>
      <c r="M259" s="2" t="s">
        <v>38</v>
      </c>
      <c r="N259" s="2" t="s">
        <v>28</v>
      </c>
      <c r="O259" s="2" t="s">
        <v>496</v>
      </c>
    </row>
    <row r="260" customFormat="false" ht="15" hidden="false" customHeight="false" outlineLevel="0" collapsed="false">
      <c r="A260" s="2" t="s">
        <v>522</v>
      </c>
      <c r="B260" s="4" t="n">
        <v>46058</v>
      </c>
      <c r="C260" s="2" t="n">
        <v>26</v>
      </c>
      <c r="D260" s="2" t="s">
        <v>523</v>
      </c>
      <c r="E260" s="5" t="n">
        <v>0</v>
      </c>
      <c r="F260" s="5" t="n">
        <v>4000</v>
      </c>
      <c r="G260" s="5" t="n">
        <v>4384.71</v>
      </c>
      <c r="H260" s="7" t="s">
        <v>51</v>
      </c>
      <c r="I260" s="7" t="s">
        <v>27</v>
      </c>
      <c r="J260" s="6" t="n">
        <v>0.55</v>
      </c>
      <c r="K260" s="2" t="s">
        <v>29</v>
      </c>
      <c r="L260" s="5" t="n">
        <f aca="false">IF($K260="Y",ROUND($E260/11,2),0)</f>
        <v>0</v>
      </c>
      <c r="M260" s="2"/>
      <c r="N260" s="2" t="s">
        <v>28</v>
      </c>
      <c r="O260" s="2" t="s">
        <v>496</v>
      </c>
    </row>
    <row r="261" customFormat="false" ht="15" hidden="false" customHeight="false" outlineLevel="0" collapsed="false">
      <c r="A261" s="2" t="s">
        <v>524</v>
      </c>
      <c r="B261" s="4" t="n">
        <v>46058</v>
      </c>
      <c r="C261" s="2" t="n">
        <v>26</v>
      </c>
      <c r="D261" s="2" t="s">
        <v>525</v>
      </c>
      <c r="E261" s="5" t="n">
        <v>64.99</v>
      </c>
      <c r="F261" s="5" t="n">
        <v>0</v>
      </c>
      <c r="G261" s="5" t="n">
        <v>4319.72</v>
      </c>
      <c r="H261" s="7" t="s">
        <v>105</v>
      </c>
      <c r="I261" s="7" t="s">
        <v>37</v>
      </c>
      <c r="J261" s="6" t="n">
        <v>0.3</v>
      </c>
      <c r="K261" s="2" t="s">
        <v>29</v>
      </c>
      <c r="L261" s="5" t="n">
        <f aca="false">IF($K261="Y",ROUND($E261/11,2),0)</f>
        <v>0</v>
      </c>
      <c r="M261" s="2"/>
      <c r="N261" s="2" t="s">
        <v>28</v>
      </c>
      <c r="O261" s="2" t="s">
        <v>496</v>
      </c>
    </row>
    <row r="262" customFormat="false" ht="15" hidden="false" customHeight="false" outlineLevel="0" collapsed="false">
      <c r="A262" s="2" t="s">
        <v>526</v>
      </c>
      <c r="B262" s="4" t="n">
        <v>46059</v>
      </c>
      <c r="C262" s="2" t="n">
        <v>26</v>
      </c>
      <c r="D262" s="2" t="s">
        <v>527</v>
      </c>
      <c r="E262" s="5" t="n">
        <v>0</v>
      </c>
      <c r="F262" s="5" t="n">
        <v>64.99</v>
      </c>
      <c r="G262" s="5" t="n">
        <v>4384.71</v>
      </c>
      <c r="H262" s="7" t="s">
        <v>51</v>
      </c>
      <c r="I262" s="7" t="s">
        <v>27</v>
      </c>
      <c r="J262" s="6" t="n">
        <v>0.55</v>
      </c>
      <c r="K262" s="2" t="s">
        <v>29</v>
      </c>
      <c r="L262" s="5" t="n">
        <f aca="false">IF($K262="Y",ROUND($E262/11,2),0)</f>
        <v>0</v>
      </c>
      <c r="M262" s="2"/>
      <c r="N262" s="2" t="s">
        <v>28</v>
      </c>
      <c r="O262" s="2" t="s">
        <v>496</v>
      </c>
    </row>
    <row r="263" customFormat="false" ht="15" hidden="false" customHeight="false" outlineLevel="0" collapsed="false">
      <c r="A263" s="2" t="s">
        <v>528</v>
      </c>
      <c r="B263" s="4" t="n">
        <v>46059</v>
      </c>
      <c r="C263" s="2" t="n">
        <v>26</v>
      </c>
      <c r="D263" s="2" t="s">
        <v>128</v>
      </c>
      <c r="E263" s="5" t="n">
        <v>0</v>
      </c>
      <c r="F263" s="5" t="n">
        <v>200</v>
      </c>
      <c r="G263" s="5" t="n">
        <v>4584.71</v>
      </c>
      <c r="H263" s="7" t="s">
        <v>129</v>
      </c>
      <c r="I263" s="7" t="s">
        <v>37</v>
      </c>
      <c r="J263" s="6" t="n">
        <v>0.6</v>
      </c>
      <c r="K263" s="2" t="s">
        <v>29</v>
      </c>
      <c r="L263" s="5" t="n">
        <f aca="false">IF($K263="Y",ROUND($E263/11,2),0)</f>
        <v>0</v>
      </c>
      <c r="M263" s="2" t="s">
        <v>130</v>
      </c>
      <c r="N263" s="2" t="s">
        <v>28</v>
      </c>
      <c r="O263" s="2" t="s">
        <v>496</v>
      </c>
    </row>
    <row r="264" customFormat="false" ht="15" hidden="false" customHeight="false" outlineLevel="0" collapsed="false">
      <c r="A264" s="2" t="s">
        <v>529</v>
      </c>
      <c r="B264" s="4" t="n">
        <v>46059</v>
      </c>
      <c r="C264" s="2" t="n">
        <v>26</v>
      </c>
      <c r="D264" s="2" t="s">
        <v>530</v>
      </c>
      <c r="E264" s="5" t="n">
        <v>89.01</v>
      </c>
      <c r="F264" s="5" t="n">
        <v>0</v>
      </c>
      <c r="G264" s="5" t="n">
        <v>4495.7</v>
      </c>
      <c r="H264" s="2" t="s">
        <v>26</v>
      </c>
      <c r="I264" s="2" t="s">
        <v>27</v>
      </c>
      <c r="J264" s="6" t="n">
        <v>0.7</v>
      </c>
      <c r="K264" s="2" t="s">
        <v>28</v>
      </c>
      <c r="L264" s="5" t="n">
        <f aca="false">IF($K264="Y",ROUND($E264/11,2),0)</f>
        <v>8.09</v>
      </c>
      <c r="M264" s="2"/>
      <c r="N264" s="2" t="s">
        <v>29</v>
      </c>
      <c r="O264" s="2" t="s">
        <v>496</v>
      </c>
    </row>
    <row r="265" customFormat="false" ht="15" hidden="false" customHeight="false" outlineLevel="0" collapsed="false">
      <c r="A265" s="2" t="s">
        <v>531</v>
      </c>
      <c r="B265" s="4" t="n">
        <v>46062</v>
      </c>
      <c r="C265" s="2" t="n">
        <v>26</v>
      </c>
      <c r="D265" s="2" t="s">
        <v>532</v>
      </c>
      <c r="E265" s="5" t="n">
        <v>10.05</v>
      </c>
      <c r="F265" s="5" t="n">
        <v>0</v>
      </c>
      <c r="G265" s="5" t="n">
        <v>4485.65</v>
      </c>
      <c r="H265" s="2" t="s">
        <v>33</v>
      </c>
      <c r="I265" s="2" t="s">
        <v>27</v>
      </c>
      <c r="J265" s="6" t="n">
        <v>0.8</v>
      </c>
      <c r="K265" s="2" t="s">
        <v>28</v>
      </c>
      <c r="L265" s="5" t="n">
        <f aca="false">IF($K265="Y",ROUND($E265/11,2),0)</f>
        <v>0.91</v>
      </c>
      <c r="M265" s="2"/>
      <c r="N265" s="2" t="s">
        <v>29</v>
      </c>
      <c r="O265" s="2" t="s">
        <v>496</v>
      </c>
    </row>
    <row r="266" customFormat="false" ht="15" hidden="false" customHeight="false" outlineLevel="0" collapsed="false">
      <c r="A266" s="2" t="s">
        <v>533</v>
      </c>
      <c r="B266" s="4" t="n">
        <v>46062</v>
      </c>
      <c r="C266" s="2" t="n">
        <v>26</v>
      </c>
      <c r="D266" s="2" t="s">
        <v>534</v>
      </c>
      <c r="E266" s="5" t="n">
        <v>29</v>
      </c>
      <c r="F266" s="5" t="n">
        <v>0</v>
      </c>
      <c r="G266" s="5" t="n">
        <v>4456.65</v>
      </c>
      <c r="H266" s="7" t="s">
        <v>105</v>
      </c>
      <c r="I266" s="7" t="s">
        <v>37</v>
      </c>
      <c r="J266" s="6" t="n">
        <v>0.3</v>
      </c>
      <c r="K266" s="2" t="s">
        <v>29</v>
      </c>
      <c r="L266" s="5" t="n">
        <f aca="false">IF($K266="Y",ROUND($E266/11,2),0)</f>
        <v>0</v>
      </c>
      <c r="M266" s="2"/>
      <c r="N266" s="2" t="s">
        <v>28</v>
      </c>
      <c r="O266" s="2" t="s">
        <v>496</v>
      </c>
    </row>
    <row r="267" customFormat="false" ht="15" hidden="false" customHeight="false" outlineLevel="0" collapsed="false">
      <c r="A267" s="2" t="s">
        <v>535</v>
      </c>
      <c r="B267" s="4" t="n">
        <v>46062</v>
      </c>
      <c r="C267" s="2" t="n">
        <v>26</v>
      </c>
      <c r="D267" s="2" t="s">
        <v>536</v>
      </c>
      <c r="E267" s="5" t="n">
        <v>30.99</v>
      </c>
      <c r="F267" s="5" t="n">
        <v>0</v>
      </c>
      <c r="G267" s="5" t="n">
        <v>4425.66</v>
      </c>
      <c r="H267" s="7" t="s">
        <v>105</v>
      </c>
      <c r="I267" s="7" t="s">
        <v>37</v>
      </c>
      <c r="J267" s="6" t="n">
        <v>0.3</v>
      </c>
      <c r="K267" s="2" t="s">
        <v>29</v>
      </c>
      <c r="L267" s="5" t="n">
        <f aca="false">IF($K267="Y",ROUND($E267/11,2),0)</f>
        <v>0</v>
      </c>
      <c r="M267" s="2"/>
      <c r="N267" s="2" t="s">
        <v>28</v>
      </c>
      <c r="O267" s="2" t="s">
        <v>496</v>
      </c>
    </row>
    <row r="268" customFormat="false" ht="15" hidden="false" customHeight="false" outlineLevel="0" collapsed="false">
      <c r="A268" s="2" t="s">
        <v>537</v>
      </c>
      <c r="B268" s="4" t="n">
        <v>46062</v>
      </c>
      <c r="C268" s="2" t="n">
        <v>26</v>
      </c>
      <c r="D268" s="2" t="s">
        <v>538</v>
      </c>
      <c r="E268" s="5" t="n">
        <v>143.65</v>
      </c>
      <c r="F268" s="5" t="n">
        <v>0</v>
      </c>
      <c r="G268" s="5" t="n">
        <v>4282.01</v>
      </c>
      <c r="H268" s="7" t="s">
        <v>308</v>
      </c>
      <c r="I268" s="7" t="s">
        <v>37</v>
      </c>
      <c r="J268" s="6" t="n">
        <v>0.6</v>
      </c>
      <c r="K268" s="2" t="s">
        <v>29</v>
      </c>
      <c r="L268" s="5" t="n">
        <f aca="false">IF($K268="Y",ROUND($E268/11,2),0)</f>
        <v>0</v>
      </c>
      <c r="M268" s="2"/>
      <c r="N268" s="2" t="s">
        <v>28</v>
      </c>
      <c r="O268" s="2" t="s">
        <v>496</v>
      </c>
    </row>
    <row r="269" customFormat="false" ht="15" hidden="false" customHeight="false" outlineLevel="0" collapsed="false">
      <c r="A269" s="2" t="s">
        <v>539</v>
      </c>
      <c r="B269" s="4" t="n">
        <v>46062</v>
      </c>
      <c r="C269" s="2" t="n">
        <v>26</v>
      </c>
      <c r="D269" s="2" t="s">
        <v>540</v>
      </c>
      <c r="E269" s="5" t="n">
        <v>500</v>
      </c>
      <c r="F269" s="5" t="n">
        <v>0</v>
      </c>
      <c r="G269" s="5" t="n">
        <v>3782.01</v>
      </c>
      <c r="H269" s="7" t="s">
        <v>36</v>
      </c>
      <c r="I269" s="7" t="s">
        <v>37</v>
      </c>
      <c r="J269" s="6" t="n">
        <v>0.7</v>
      </c>
      <c r="K269" s="2" t="s">
        <v>29</v>
      </c>
      <c r="L269" s="5" t="n">
        <f aca="false">IF($K269="Y",ROUND($E269/11,2),0)</f>
        <v>0</v>
      </c>
      <c r="M269" s="2" t="s">
        <v>38</v>
      </c>
      <c r="N269" s="2" t="s">
        <v>28</v>
      </c>
      <c r="O269" s="2" t="s">
        <v>496</v>
      </c>
    </row>
    <row r="270" customFormat="false" ht="15" hidden="false" customHeight="false" outlineLevel="0" collapsed="false">
      <c r="A270" s="2" t="s">
        <v>541</v>
      </c>
      <c r="B270" s="4" t="n">
        <v>46062</v>
      </c>
      <c r="C270" s="2" t="n">
        <v>26</v>
      </c>
      <c r="D270" s="2" t="s">
        <v>542</v>
      </c>
      <c r="E270" s="5" t="n">
        <v>500</v>
      </c>
      <c r="F270" s="5" t="n">
        <v>0</v>
      </c>
      <c r="G270" s="5" t="n">
        <v>3282.01</v>
      </c>
      <c r="H270" s="7" t="s">
        <v>242</v>
      </c>
      <c r="I270" s="7" t="s">
        <v>37</v>
      </c>
      <c r="J270" s="6" t="n">
        <v>0.8</v>
      </c>
      <c r="K270" s="2" t="s">
        <v>29</v>
      </c>
      <c r="L270" s="5" t="n">
        <f aca="false">IF($K270="Y",ROUND($E270/11,2),0)</f>
        <v>0</v>
      </c>
      <c r="M270" s="2"/>
      <c r="N270" s="2" t="s">
        <v>28</v>
      </c>
      <c r="O270" s="2" t="s">
        <v>496</v>
      </c>
    </row>
    <row r="271" customFormat="false" ht="15" hidden="false" customHeight="false" outlineLevel="0" collapsed="false">
      <c r="A271" s="2" t="s">
        <v>543</v>
      </c>
      <c r="B271" s="4" t="n">
        <v>46062</v>
      </c>
      <c r="C271" s="2" t="n">
        <v>26</v>
      </c>
      <c r="D271" s="2" t="s">
        <v>544</v>
      </c>
      <c r="E271" s="5" t="n">
        <v>690</v>
      </c>
      <c r="F271" s="5" t="n">
        <v>0</v>
      </c>
      <c r="G271" s="5" t="n">
        <v>2592.01</v>
      </c>
      <c r="H271" s="7" t="s">
        <v>105</v>
      </c>
      <c r="I271" s="7" t="s">
        <v>37</v>
      </c>
      <c r="J271" s="6" t="n">
        <v>0.3</v>
      </c>
      <c r="K271" s="2" t="s">
        <v>29</v>
      </c>
      <c r="L271" s="5" t="n">
        <f aca="false">IF($K271="Y",ROUND($E271/11,2),0)</f>
        <v>0</v>
      </c>
      <c r="M271" s="2"/>
      <c r="N271" s="2" t="s">
        <v>28</v>
      </c>
      <c r="O271" s="2" t="s">
        <v>496</v>
      </c>
    </row>
    <row r="272" customFormat="false" ht="15" hidden="false" customHeight="false" outlineLevel="0" collapsed="false">
      <c r="A272" s="2" t="s">
        <v>545</v>
      </c>
      <c r="B272" s="4" t="n">
        <v>46063</v>
      </c>
      <c r="C272" s="2" t="n">
        <v>26</v>
      </c>
      <c r="D272" s="2" t="s">
        <v>546</v>
      </c>
      <c r="E272" s="5" t="n">
        <v>9.65</v>
      </c>
      <c r="F272" s="5" t="n">
        <v>0</v>
      </c>
      <c r="G272" s="5" t="n">
        <v>2582.36</v>
      </c>
      <c r="H272" s="7" t="s">
        <v>105</v>
      </c>
      <c r="I272" s="7" t="s">
        <v>37</v>
      </c>
      <c r="J272" s="6" t="n">
        <v>0.3</v>
      </c>
      <c r="K272" s="2" t="s">
        <v>29</v>
      </c>
      <c r="L272" s="5" t="n">
        <f aca="false">IF($K272="Y",ROUND($E272/11,2),0)</f>
        <v>0</v>
      </c>
      <c r="M272" s="2"/>
      <c r="N272" s="2" t="s">
        <v>28</v>
      </c>
      <c r="O272" s="2" t="s">
        <v>496</v>
      </c>
    </row>
    <row r="273" customFormat="false" ht="15" hidden="false" customHeight="false" outlineLevel="0" collapsed="false">
      <c r="A273" s="2" t="s">
        <v>547</v>
      </c>
      <c r="B273" s="4" t="n">
        <v>46065</v>
      </c>
      <c r="C273" s="2" t="n">
        <v>26</v>
      </c>
      <c r="D273" s="2" t="s">
        <v>548</v>
      </c>
      <c r="E273" s="5" t="n">
        <v>14.9</v>
      </c>
      <c r="F273" s="5" t="n">
        <v>0</v>
      </c>
      <c r="G273" s="5" t="n">
        <v>2567.46</v>
      </c>
      <c r="H273" s="7" t="s">
        <v>105</v>
      </c>
      <c r="I273" s="7" t="s">
        <v>37</v>
      </c>
      <c r="J273" s="6" t="n">
        <v>0.3</v>
      </c>
      <c r="K273" s="2" t="s">
        <v>29</v>
      </c>
      <c r="L273" s="5" t="n">
        <f aca="false">IF($K273="Y",ROUND($E273/11,2),0)</f>
        <v>0</v>
      </c>
      <c r="M273" s="2"/>
      <c r="N273" s="2" t="s">
        <v>28</v>
      </c>
      <c r="O273" s="2" t="s">
        <v>496</v>
      </c>
    </row>
    <row r="274" customFormat="false" ht="15" hidden="false" customHeight="false" outlineLevel="0" collapsed="false">
      <c r="A274" s="2" t="s">
        <v>549</v>
      </c>
      <c r="B274" s="4" t="n">
        <v>46065</v>
      </c>
      <c r="C274" s="2" t="n">
        <v>26</v>
      </c>
      <c r="D274" s="2" t="s">
        <v>550</v>
      </c>
      <c r="E274" s="5" t="n">
        <v>15.9</v>
      </c>
      <c r="F274" s="5" t="n">
        <v>0</v>
      </c>
      <c r="G274" s="5" t="n">
        <v>2551.56</v>
      </c>
      <c r="H274" s="7" t="s">
        <v>105</v>
      </c>
      <c r="I274" s="7" t="s">
        <v>37</v>
      </c>
      <c r="J274" s="6" t="n">
        <v>0.3</v>
      </c>
      <c r="K274" s="2" t="s">
        <v>29</v>
      </c>
      <c r="L274" s="5" t="n">
        <f aca="false">IF($K274="Y",ROUND($E274/11,2),0)</f>
        <v>0</v>
      </c>
      <c r="M274" s="2"/>
      <c r="N274" s="2" t="s">
        <v>28</v>
      </c>
      <c r="O274" s="2" t="s">
        <v>496</v>
      </c>
    </row>
    <row r="275" customFormat="false" ht="15" hidden="false" customHeight="false" outlineLevel="0" collapsed="false">
      <c r="A275" s="2" t="s">
        <v>551</v>
      </c>
      <c r="B275" s="4" t="n">
        <v>46065</v>
      </c>
      <c r="C275" s="2" t="n">
        <v>26</v>
      </c>
      <c r="D275" s="2" t="s">
        <v>552</v>
      </c>
      <c r="E275" s="5" t="n">
        <v>32.34</v>
      </c>
      <c r="F275" s="5" t="n">
        <v>0</v>
      </c>
      <c r="G275" s="5" t="n">
        <v>2519.22</v>
      </c>
      <c r="H275" s="7" t="s">
        <v>105</v>
      </c>
      <c r="I275" s="7" t="s">
        <v>37</v>
      </c>
      <c r="J275" s="6" t="n">
        <v>0.3</v>
      </c>
      <c r="K275" s="2" t="s">
        <v>29</v>
      </c>
      <c r="L275" s="5" t="n">
        <f aca="false">IF($K275="Y",ROUND($E275/11,2),0)</f>
        <v>0</v>
      </c>
      <c r="M275" s="2"/>
      <c r="N275" s="2" t="s">
        <v>28</v>
      </c>
      <c r="O275" s="2" t="s">
        <v>496</v>
      </c>
    </row>
    <row r="276" customFormat="false" ht="15" hidden="false" customHeight="false" outlineLevel="0" collapsed="false">
      <c r="A276" s="2" t="s">
        <v>553</v>
      </c>
      <c r="B276" s="4" t="n">
        <v>46065</v>
      </c>
      <c r="C276" s="2" t="n">
        <v>26</v>
      </c>
      <c r="D276" s="2" t="s">
        <v>493</v>
      </c>
      <c r="E276" s="5" t="n">
        <v>49.9</v>
      </c>
      <c r="F276" s="5" t="n">
        <v>0</v>
      </c>
      <c r="G276" s="5" t="n">
        <v>2469.32</v>
      </c>
      <c r="H276" s="7" t="s">
        <v>105</v>
      </c>
      <c r="I276" s="7" t="s">
        <v>37</v>
      </c>
      <c r="J276" s="6" t="n">
        <v>0.3</v>
      </c>
      <c r="K276" s="2" t="s">
        <v>29</v>
      </c>
      <c r="L276" s="5" t="n">
        <f aca="false">IF($K276="Y",ROUND($E276/11,2),0)</f>
        <v>0</v>
      </c>
      <c r="M276" s="2"/>
      <c r="N276" s="2" t="s">
        <v>28</v>
      </c>
      <c r="O276" s="2" t="s">
        <v>496</v>
      </c>
    </row>
    <row r="277" customFormat="false" ht="15" hidden="false" customHeight="false" outlineLevel="0" collapsed="false">
      <c r="A277" s="2" t="s">
        <v>554</v>
      </c>
      <c r="B277" s="4" t="n">
        <v>46065</v>
      </c>
      <c r="C277" s="2" t="n">
        <v>26</v>
      </c>
      <c r="D277" s="2" t="s">
        <v>555</v>
      </c>
      <c r="E277" s="5" t="n">
        <v>113.24</v>
      </c>
      <c r="F277" s="5" t="n">
        <v>0</v>
      </c>
      <c r="G277" s="5" t="n">
        <v>2356.08</v>
      </c>
      <c r="H277" s="2" t="s">
        <v>271</v>
      </c>
      <c r="I277" s="2" t="s">
        <v>27</v>
      </c>
      <c r="J277" s="6" t="n">
        <v>0.7</v>
      </c>
      <c r="K277" s="2" t="s">
        <v>28</v>
      </c>
      <c r="L277" s="5" t="n">
        <f aca="false">IF($K277="Y",ROUND($E277/11,2),0)</f>
        <v>10.29</v>
      </c>
      <c r="M277" s="2"/>
      <c r="N277" s="2" t="s">
        <v>29</v>
      </c>
      <c r="O277" s="2" t="s">
        <v>496</v>
      </c>
    </row>
    <row r="278" customFormat="false" ht="15" hidden="false" customHeight="false" outlineLevel="0" collapsed="false">
      <c r="A278" s="2" t="s">
        <v>556</v>
      </c>
      <c r="B278" s="4" t="n">
        <v>46066</v>
      </c>
      <c r="C278" s="2" t="n">
        <v>26</v>
      </c>
      <c r="D278" s="2" t="s">
        <v>557</v>
      </c>
      <c r="E278" s="5" t="n">
        <v>0</v>
      </c>
      <c r="F278" s="5" t="n">
        <v>450</v>
      </c>
      <c r="G278" s="5" t="n">
        <v>2806.08</v>
      </c>
      <c r="H278" s="7" t="s">
        <v>51</v>
      </c>
      <c r="I278" s="7" t="s">
        <v>27</v>
      </c>
      <c r="J278" s="6" t="n">
        <v>0.55</v>
      </c>
      <c r="K278" s="2" t="s">
        <v>29</v>
      </c>
      <c r="L278" s="5" t="n">
        <f aca="false">IF($K278="Y",ROUND($E278/11,2),0)</f>
        <v>0</v>
      </c>
      <c r="M278" s="2"/>
      <c r="N278" s="2" t="s">
        <v>28</v>
      </c>
      <c r="O278" s="2" t="s">
        <v>496</v>
      </c>
    </row>
    <row r="279" customFormat="false" ht="15" hidden="false" customHeight="false" outlineLevel="0" collapsed="false">
      <c r="A279" s="2" t="s">
        <v>558</v>
      </c>
      <c r="B279" s="4" t="n">
        <v>46066</v>
      </c>
      <c r="C279" s="2" t="n">
        <v>26</v>
      </c>
      <c r="D279" s="2" t="s">
        <v>559</v>
      </c>
      <c r="E279" s="5" t="n">
        <v>6.99</v>
      </c>
      <c r="F279" s="5" t="n">
        <v>0</v>
      </c>
      <c r="G279" s="5" t="n">
        <v>2799.09</v>
      </c>
      <c r="H279" s="7" t="s">
        <v>105</v>
      </c>
      <c r="I279" s="7" t="s">
        <v>37</v>
      </c>
      <c r="J279" s="6" t="n">
        <v>0.3</v>
      </c>
      <c r="K279" s="2" t="s">
        <v>29</v>
      </c>
      <c r="L279" s="5" t="n">
        <f aca="false">IF($K279="Y",ROUND($E279/11,2),0)</f>
        <v>0</v>
      </c>
      <c r="M279" s="2"/>
      <c r="N279" s="2" t="s">
        <v>28</v>
      </c>
      <c r="O279" s="2" t="s">
        <v>496</v>
      </c>
    </row>
    <row r="280" customFormat="false" ht="15" hidden="false" customHeight="false" outlineLevel="0" collapsed="false">
      <c r="A280" s="2" t="s">
        <v>560</v>
      </c>
      <c r="B280" s="4" t="n">
        <v>46066</v>
      </c>
      <c r="C280" s="2" t="n">
        <v>26</v>
      </c>
      <c r="D280" s="2" t="s">
        <v>561</v>
      </c>
      <c r="E280" s="5" t="n">
        <v>24.13</v>
      </c>
      <c r="F280" s="5" t="n">
        <v>0</v>
      </c>
      <c r="G280" s="5" t="n">
        <v>2774.96</v>
      </c>
      <c r="H280" s="7" t="s">
        <v>105</v>
      </c>
      <c r="I280" s="7" t="s">
        <v>37</v>
      </c>
      <c r="J280" s="6" t="n">
        <v>0.3</v>
      </c>
      <c r="K280" s="2" t="s">
        <v>29</v>
      </c>
      <c r="L280" s="5" t="n">
        <f aca="false">IF($K280="Y",ROUND($E280/11,2),0)</f>
        <v>0</v>
      </c>
      <c r="M280" s="2"/>
      <c r="N280" s="2" t="s">
        <v>28</v>
      </c>
      <c r="O280" s="2" t="s">
        <v>496</v>
      </c>
    </row>
    <row r="281" customFormat="false" ht="15" hidden="false" customHeight="false" outlineLevel="0" collapsed="false">
      <c r="A281" s="2" t="s">
        <v>562</v>
      </c>
      <c r="B281" s="4" t="n">
        <v>46066</v>
      </c>
      <c r="C281" s="2" t="n">
        <v>26</v>
      </c>
      <c r="D281" s="2" t="s">
        <v>563</v>
      </c>
      <c r="E281" s="5" t="n">
        <v>27</v>
      </c>
      <c r="F281" s="5" t="n">
        <v>0</v>
      </c>
      <c r="G281" s="5" t="n">
        <v>2747.96</v>
      </c>
      <c r="H281" s="7" t="s">
        <v>105</v>
      </c>
      <c r="I281" s="7" t="s">
        <v>37</v>
      </c>
      <c r="J281" s="6" t="n">
        <v>0.3</v>
      </c>
      <c r="K281" s="2" t="s">
        <v>29</v>
      </c>
      <c r="L281" s="5" t="n">
        <f aca="false">IF($K281="Y",ROUND($E281/11,2),0)</f>
        <v>0</v>
      </c>
      <c r="M281" s="2"/>
      <c r="N281" s="2" t="s">
        <v>28</v>
      </c>
      <c r="O281" s="2" t="s">
        <v>496</v>
      </c>
    </row>
    <row r="282" customFormat="false" ht="15" hidden="false" customHeight="false" outlineLevel="0" collapsed="false">
      <c r="A282" s="2" t="s">
        <v>564</v>
      </c>
      <c r="B282" s="4" t="n">
        <v>46066</v>
      </c>
      <c r="C282" s="2" t="n">
        <v>26</v>
      </c>
      <c r="D282" s="2" t="s">
        <v>565</v>
      </c>
      <c r="E282" s="5" t="n">
        <v>27.5</v>
      </c>
      <c r="F282" s="5" t="n">
        <v>0</v>
      </c>
      <c r="G282" s="5" t="n">
        <v>2720.46</v>
      </c>
      <c r="H282" s="7" t="s">
        <v>308</v>
      </c>
      <c r="I282" s="7" t="s">
        <v>37</v>
      </c>
      <c r="J282" s="6" t="n">
        <v>0.6</v>
      </c>
      <c r="K282" s="2" t="s">
        <v>29</v>
      </c>
      <c r="L282" s="5" t="n">
        <f aca="false">IF($K282="Y",ROUND($E282/11,2),0)</f>
        <v>0</v>
      </c>
      <c r="M282" s="2"/>
      <c r="N282" s="2" t="s">
        <v>28</v>
      </c>
      <c r="O282" s="2" t="s">
        <v>496</v>
      </c>
    </row>
    <row r="283" customFormat="false" ht="15" hidden="false" customHeight="false" outlineLevel="0" collapsed="false">
      <c r="A283" s="2" t="s">
        <v>566</v>
      </c>
      <c r="B283" s="4" t="n">
        <v>46066</v>
      </c>
      <c r="C283" s="2" t="n">
        <v>26</v>
      </c>
      <c r="D283" s="2" t="s">
        <v>567</v>
      </c>
      <c r="E283" s="5" t="n">
        <v>50.41</v>
      </c>
      <c r="F283" s="5" t="n">
        <v>0</v>
      </c>
      <c r="G283" s="5" t="n">
        <v>2670.05</v>
      </c>
      <c r="H283" s="2" t="s">
        <v>26</v>
      </c>
      <c r="I283" s="2" t="s">
        <v>27</v>
      </c>
      <c r="J283" s="6" t="n">
        <v>0.7</v>
      </c>
      <c r="K283" s="2" t="s">
        <v>28</v>
      </c>
      <c r="L283" s="5" t="n">
        <f aca="false">IF($K283="Y",ROUND($E283/11,2),0)</f>
        <v>4.58</v>
      </c>
      <c r="M283" s="2"/>
      <c r="N283" s="2" t="s">
        <v>29</v>
      </c>
      <c r="O283" s="2" t="s">
        <v>496</v>
      </c>
    </row>
    <row r="284" customFormat="false" ht="15" hidden="false" customHeight="false" outlineLevel="0" collapsed="false">
      <c r="A284" s="2" t="s">
        <v>568</v>
      </c>
      <c r="B284" s="4" t="n">
        <v>46066</v>
      </c>
      <c r="C284" s="2" t="n">
        <v>26</v>
      </c>
      <c r="D284" s="2" t="s">
        <v>569</v>
      </c>
      <c r="E284" s="5" t="n">
        <v>1800</v>
      </c>
      <c r="F284" s="5" t="n">
        <v>0</v>
      </c>
      <c r="G284" s="5" t="n">
        <v>870.05</v>
      </c>
      <c r="H284" s="7" t="s">
        <v>36</v>
      </c>
      <c r="I284" s="7" t="s">
        <v>37</v>
      </c>
      <c r="J284" s="6" t="n">
        <v>0.7</v>
      </c>
      <c r="K284" s="2" t="s">
        <v>29</v>
      </c>
      <c r="L284" s="5" t="n">
        <f aca="false">IF($K284="Y",ROUND($E284/11,2),0)</f>
        <v>0</v>
      </c>
      <c r="M284" s="2" t="s">
        <v>38</v>
      </c>
      <c r="N284" s="2" t="s">
        <v>28</v>
      </c>
      <c r="O284" s="2" t="s">
        <v>496</v>
      </c>
    </row>
    <row r="285" customFormat="false" ht="15" hidden="false" customHeight="false" outlineLevel="0" collapsed="false">
      <c r="A285" s="2" t="s">
        <v>570</v>
      </c>
      <c r="B285" s="4" t="n">
        <v>46069</v>
      </c>
      <c r="C285" s="2" t="n">
        <v>26</v>
      </c>
      <c r="D285" s="2" t="s">
        <v>571</v>
      </c>
      <c r="E285" s="5" t="n">
        <v>0</v>
      </c>
      <c r="F285" s="5" t="n">
        <v>450</v>
      </c>
      <c r="G285" s="5" t="n">
        <v>1320.05</v>
      </c>
      <c r="H285" s="7" t="s">
        <v>51</v>
      </c>
      <c r="I285" s="7" t="s">
        <v>27</v>
      </c>
      <c r="J285" s="6" t="n">
        <v>0.55</v>
      </c>
      <c r="K285" s="2" t="s">
        <v>29</v>
      </c>
      <c r="L285" s="5" t="n">
        <f aca="false">IF($K285="Y",ROUND($E285/11,2),0)</f>
        <v>0</v>
      </c>
      <c r="M285" s="2"/>
      <c r="N285" s="2" t="s">
        <v>28</v>
      </c>
      <c r="O285" s="2" t="s">
        <v>496</v>
      </c>
    </row>
    <row r="286" customFormat="false" ht="15" hidden="false" customHeight="false" outlineLevel="0" collapsed="false">
      <c r="A286" s="2" t="s">
        <v>572</v>
      </c>
      <c r="B286" s="4" t="n">
        <v>46069</v>
      </c>
      <c r="C286" s="2" t="n">
        <v>26</v>
      </c>
      <c r="D286" s="2" t="s">
        <v>573</v>
      </c>
      <c r="E286" s="5" t="n">
        <v>6.49</v>
      </c>
      <c r="F286" s="5" t="n">
        <v>0</v>
      </c>
      <c r="G286" s="5" t="n">
        <v>1313.56</v>
      </c>
      <c r="H286" s="7" t="s">
        <v>65</v>
      </c>
      <c r="I286" s="7" t="s">
        <v>27</v>
      </c>
      <c r="J286" s="6" t="n">
        <v>0.6</v>
      </c>
      <c r="K286" s="2" t="s">
        <v>28</v>
      </c>
      <c r="L286" s="5" t="n">
        <f aca="false">IF($K286="Y",ROUND($E286/11,2),0)</f>
        <v>0.59</v>
      </c>
      <c r="M286" s="2"/>
      <c r="N286" s="2" t="s">
        <v>28</v>
      </c>
      <c r="O286" s="2" t="s">
        <v>496</v>
      </c>
    </row>
    <row r="287" customFormat="false" ht="15" hidden="false" customHeight="false" outlineLevel="0" collapsed="false">
      <c r="A287" s="2" t="s">
        <v>574</v>
      </c>
      <c r="B287" s="4" t="n">
        <v>46069</v>
      </c>
      <c r="C287" s="2" t="n">
        <v>26</v>
      </c>
      <c r="D287" s="2" t="s">
        <v>575</v>
      </c>
      <c r="E287" s="5" t="n">
        <v>8.66</v>
      </c>
      <c r="F287" s="5" t="n">
        <v>0</v>
      </c>
      <c r="G287" s="5" t="n">
        <v>1304.9</v>
      </c>
      <c r="H287" s="7" t="s">
        <v>105</v>
      </c>
      <c r="I287" s="7" t="s">
        <v>37</v>
      </c>
      <c r="J287" s="6" t="n">
        <v>0.3</v>
      </c>
      <c r="K287" s="2" t="s">
        <v>29</v>
      </c>
      <c r="L287" s="5" t="n">
        <f aca="false">IF($K287="Y",ROUND($E287/11,2),0)</f>
        <v>0</v>
      </c>
      <c r="M287" s="2"/>
      <c r="N287" s="2" t="s">
        <v>28</v>
      </c>
      <c r="O287" s="2" t="s">
        <v>496</v>
      </c>
    </row>
    <row r="288" customFormat="false" ht="15" hidden="false" customHeight="false" outlineLevel="0" collapsed="false">
      <c r="A288" s="2" t="s">
        <v>576</v>
      </c>
      <c r="B288" s="4" t="n">
        <v>46069</v>
      </c>
      <c r="C288" s="2" t="n">
        <v>26</v>
      </c>
      <c r="D288" s="2" t="s">
        <v>577</v>
      </c>
      <c r="E288" s="5" t="n">
        <v>13.36</v>
      </c>
      <c r="F288" s="5" t="n">
        <v>0</v>
      </c>
      <c r="G288" s="5" t="n">
        <v>1291.54</v>
      </c>
      <c r="H288" s="7" t="s">
        <v>105</v>
      </c>
      <c r="I288" s="7" t="s">
        <v>37</v>
      </c>
      <c r="J288" s="6" t="n">
        <v>0.3</v>
      </c>
      <c r="K288" s="2" t="s">
        <v>29</v>
      </c>
      <c r="L288" s="5" t="n">
        <f aca="false">IF($K288="Y",ROUND($E288/11,2),0)</f>
        <v>0</v>
      </c>
      <c r="M288" s="2"/>
      <c r="N288" s="2" t="s">
        <v>28</v>
      </c>
      <c r="O288" s="2" t="s">
        <v>496</v>
      </c>
    </row>
    <row r="289" customFormat="false" ht="15" hidden="false" customHeight="false" outlineLevel="0" collapsed="false">
      <c r="A289" s="2" t="s">
        <v>578</v>
      </c>
      <c r="B289" s="4" t="n">
        <v>46069</v>
      </c>
      <c r="C289" s="2" t="n">
        <v>26</v>
      </c>
      <c r="D289" s="2" t="s">
        <v>579</v>
      </c>
      <c r="E289" s="5" t="n">
        <v>14.18</v>
      </c>
      <c r="F289" s="5" t="n">
        <v>0</v>
      </c>
      <c r="G289" s="5" t="n">
        <v>1277.36</v>
      </c>
      <c r="H289" s="7" t="s">
        <v>105</v>
      </c>
      <c r="I289" s="7" t="s">
        <v>37</v>
      </c>
      <c r="J289" s="6" t="n">
        <v>0.3</v>
      </c>
      <c r="K289" s="2" t="s">
        <v>29</v>
      </c>
      <c r="L289" s="5" t="n">
        <f aca="false">IF($K289="Y",ROUND($E289/11,2),0)</f>
        <v>0</v>
      </c>
      <c r="M289" s="2"/>
      <c r="N289" s="2" t="s">
        <v>28</v>
      </c>
      <c r="O289" s="2" t="s">
        <v>496</v>
      </c>
    </row>
    <row r="290" customFormat="false" ht="15" hidden="false" customHeight="false" outlineLevel="0" collapsed="false">
      <c r="A290" s="2" t="s">
        <v>580</v>
      </c>
      <c r="B290" s="4" t="n">
        <v>46069</v>
      </c>
      <c r="C290" s="2" t="n">
        <v>26</v>
      </c>
      <c r="D290" s="2" t="s">
        <v>581</v>
      </c>
      <c r="E290" s="5" t="n">
        <v>15</v>
      </c>
      <c r="F290" s="5" t="n">
        <v>0</v>
      </c>
      <c r="G290" s="5" t="n">
        <v>1262.36</v>
      </c>
      <c r="H290" s="7" t="s">
        <v>105</v>
      </c>
      <c r="I290" s="7" t="s">
        <v>37</v>
      </c>
      <c r="J290" s="6" t="n">
        <v>0.3</v>
      </c>
      <c r="K290" s="2" t="s">
        <v>29</v>
      </c>
      <c r="L290" s="5" t="n">
        <f aca="false">IF($K290="Y",ROUND($E290/11,2),0)</f>
        <v>0</v>
      </c>
      <c r="M290" s="2"/>
      <c r="N290" s="2" t="s">
        <v>28</v>
      </c>
      <c r="O290" s="2" t="s">
        <v>496</v>
      </c>
    </row>
    <row r="291" customFormat="false" ht="15" hidden="false" customHeight="false" outlineLevel="0" collapsed="false">
      <c r="A291" s="2" t="s">
        <v>582</v>
      </c>
      <c r="B291" s="4" t="n">
        <v>46069</v>
      </c>
      <c r="C291" s="2" t="n">
        <v>26</v>
      </c>
      <c r="D291" s="2" t="s">
        <v>583</v>
      </c>
      <c r="E291" s="5" t="n">
        <v>16.99</v>
      </c>
      <c r="F291" s="5" t="n">
        <v>0</v>
      </c>
      <c r="G291" s="5" t="n">
        <v>1245.37</v>
      </c>
      <c r="H291" s="7" t="s">
        <v>65</v>
      </c>
      <c r="I291" s="7" t="s">
        <v>27</v>
      </c>
      <c r="J291" s="6" t="n">
        <v>0.6</v>
      </c>
      <c r="K291" s="2" t="s">
        <v>28</v>
      </c>
      <c r="L291" s="5" t="n">
        <f aca="false">IF($K291="Y",ROUND($E291/11,2),0)</f>
        <v>1.54</v>
      </c>
      <c r="M291" s="2"/>
      <c r="N291" s="2" t="s">
        <v>28</v>
      </c>
      <c r="O291" s="2" t="s">
        <v>496</v>
      </c>
    </row>
    <row r="292" customFormat="false" ht="15" hidden="false" customHeight="false" outlineLevel="0" collapsed="false">
      <c r="A292" s="2" t="s">
        <v>584</v>
      </c>
      <c r="B292" s="4" t="n">
        <v>46069</v>
      </c>
      <c r="C292" s="2" t="n">
        <v>26</v>
      </c>
      <c r="D292" s="2" t="s">
        <v>585</v>
      </c>
      <c r="E292" s="5" t="n">
        <v>20</v>
      </c>
      <c r="F292" s="5" t="n">
        <v>0</v>
      </c>
      <c r="G292" s="5" t="n">
        <v>1225.37</v>
      </c>
      <c r="H292" s="7" t="s">
        <v>105</v>
      </c>
      <c r="I292" s="7" t="s">
        <v>37</v>
      </c>
      <c r="J292" s="6" t="n">
        <v>0.3</v>
      </c>
      <c r="K292" s="2" t="s">
        <v>29</v>
      </c>
      <c r="L292" s="5" t="n">
        <f aca="false">IF($K292="Y",ROUND($E292/11,2),0)</f>
        <v>0</v>
      </c>
      <c r="M292" s="2"/>
      <c r="N292" s="2" t="s">
        <v>28</v>
      </c>
      <c r="O292" s="2" t="s">
        <v>496</v>
      </c>
    </row>
    <row r="293" customFormat="false" ht="15" hidden="false" customHeight="false" outlineLevel="0" collapsed="false">
      <c r="A293" s="2" t="s">
        <v>586</v>
      </c>
      <c r="B293" s="4" t="n">
        <v>46069</v>
      </c>
      <c r="C293" s="2" t="n">
        <v>26</v>
      </c>
      <c r="D293" s="2" t="s">
        <v>587</v>
      </c>
      <c r="E293" s="5" t="n">
        <v>24.02</v>
      </c>
      <c r="F293" s="5" t="n">
        <v>0</v>
      </c>
      <c r="G293" s="5" t="n">
        <v>1201.35</v>
      </c>
      <c r="H293" s="7" t="s">
        <v>65</v>
      </c>
      <c r="I293" s="7" t="s">
        <v>27</v>
      </c>
      <c r="J293" s="6" t="n">
        <v>0.6</v>
      </c>
      <c r="K293" s="2" t="s">
        <v>28</v>
      </c>
      <c r="L293" s="5" t="n">
        <f aca="false">IF($K293="Y",ROUND($E293/11,2),0)</f>
        <v>2.18</v>
      </c>
      <c r="M293" s="2"/>
      <c r="N293" s="2" t="s">
        <v>28</v>
      </c>
      <c r="O293" s="2" t="s">
        <v>496</v>
      </c>
    </row>
    <row r="294" customFormat="false" ht="15" hidden="false" customHeight="false" outlineLevel="0" collapsed="false">
      <c r="A294" s="2" t="s">
        <v>588</v>
      </c>
      <c r="B294" s="4" t="n">
        <v>46069</v>
      </c>
      <c r="C294" s="2" t="n">
        <v>26</v>
      </c>
      <c r="D294" s="2" t="s">
        <v>589</v>
      </c>
      <c r="E294" s="5" t="n">
        <v>35.27</v>
      </c>
      <c r="F294" s="5" t="n">
        <v>0</v>
      </c>
      <c r="G294" s="5" t="n">
        <v>1166.08</v>
      </c>
      <c r="H294" s="7" t="s">
        <v>105</v>
      </c>
      <c r="I294" s="7" t="s">
        <v>37</v>
      </c>
      <c r="J294" s="6" t="n">
        <v>0.3</v>
      </c>
      <c r="K294" s="2" t="s">
        <v>29</v>
      </c>
      <c r="L294" s="5" t="n">
        <f aca="false">IF($K294="Y",ROUND($E294/11,2),0)</f>
        <v>0</v>
      </c>
      <c r="M294" s="2"/>
      <c r="N294" s="2" t="s">
        <v>28</v>
      </c>
      <c r="O294" s="2" t="s">
        <v>496</v>
      </c>
    </row>
    <row r="295" customFormat="false" ht="15" hidden="false" customHeight="false" outlineLevel="0" collapsed="false">
      <c r="A295" s="2" t="s">
        <v>590</v>
      </c>
      <c r="B295" s="4" t="n">
        <v>46069</v>
      </c>
      <c r="C295" s="2" t="n">
        <v>26</v>
      </c>
      <c r="D295" s="2" t="s">
        <v>591</v>
      </c>
      <c r="E295" s="5" t="n">
        <v>50.08</v>
      </c>
      <c r="F295" s="5" t="n">
        <v>0</v>
      </c>
      <c r="G295" s="5" t="n">
        <v>1116</v>
      </c>
      <c r="H295" s="2" t="s">
        <v>26</v>
      </c>
      <c r="I295" s="2" t="s">
        <v>27</v>
      </c>
      <c r="J295" s="6" t="n">
        <v>0.7</v>
      </c>
      <c r="K295" s="2" t="s">
        <v>28</v>
      </c>
      <c r="L295" s="5" t="n">
        <f aca="false">IF($K295="Y",ROUND($E295/11,2),0)</f>
        <v>4.55</v>
      </c>
      <c r="M295" s="2"/>
      <c r="N295" s="2" t="s">
        <v>29</v>
      </c>
      <c r="O295" s="2" t="s">
        <v>496</v>
      </c>
    </row>
    <row r="296" customFormat="false" ht="15" hidden="false" customHeight="false" outlineLevel="0" collapsed="false">
      <c r="A296" s="2" t="s">
        <v>592</v>
      </c>
      <c r="B296" s="4" t="n">
        <v>46069</v>
      </c>
      <c r="C296" s="2" t="n">
        <v>26</v>
      </c>
      <c r="D296" s="2" t="s">
        <v>593</v>
      </c>
      <c r="E296" s="5" t="n">
        <v>56.82</v>
      </c>
      <c r="F296" s="5" t="n">
        <v>0</v>
      </c>
      <c r="G296" s="5" t="n">
        <v>1059.18</v>
      </c>
      <c r="H296" s="2" t="s">
        <v>33</v>
      </c>
      <c r="I296" s="2" t="s">
        <v>27</v>
      </c>
      <c r="J296" s="6" t="n">
        <v>0.8</v>
      </c>
      <c r="K296" s="2" t="s">
        <v>28</v>
      </c>
      <c r="L296" s="5" t="n">
        <f aca="false">IF($K296="Y",ROUND($E296/11,2),0)</f>
        <v>5.17</v>
      </c>
      <c r="M296" s="2"/>
      <c r="N296" s="2" t="s">
        <v>29</v>
      </c>
      <c r="O296" s="2" t="s">
        <v>496</v>
      </c>
    </row>
    <row r="297" customFormat="false" ht="15" hidden="false" customHeight="false" outlineLevel="0" collapsed="false">
      <c r="A297" s="2" t="s">
        <v>594</v>
      </c>
      <c r="B297" s="4" t="n">
        <v>46069</v>
      </c>
      <c r="C297" s="2" t="n">
        <v>26</v>
      </c>
      <c r="D297" s="2" t="s">
        <v>595</v>
      </c>
      <c r="E297" s="5" t="n">
        <v>500</v>
      </c>
      <c r="F297" s="5" t="n">
        <v>0</v>
      </c>
      <c r="G297" s="5" t="n">
        <v>559.18</v>
      </c>
      <c r="H297" s="7" t="s">
        <v>36</v>
      </c>
      <c r="I297" s="7" t="s">
        <v>37</v>
      </c>
      <c r="J297" s="6" t="n">
        <v>0.7</v>
      </c>
      <c r="K297" s="2" t="s">
        <v>29</v>
      </c>
      <c r="L297" s="5" t="n">
        <f aca="false">IF($K297="Y",ROUND($E297/11,2),0)</f>
        <v>0</v>
      </c>
      <c r="M297" s="2" t="s">
        <v>38</v>
      </c>
      <c r="N297" s="2" t="s">
        <v>28</v>
      </c>
      <c r="O297" s="2" t="s">
        <v>496</v>
      </c>
    </row>
    <row r="298" customFormat="false" ht="15" hidden="false" customHeight="false" outlineLevel="0" collapsed="false">
      <c r="A298" s="2" t="s">
        <v>596</v>
      </c>
      <c r="B298" s="4" t="n">
        <v>46070</v>
      </c>
      <c r="C298" s="2" t="n">
        <v>26</v>
      </c>
      <c r="D298" s="2" t="s">
        <v>597</v>
      </c>
      <c r="E298" s="5" t="n">
        <v>4.49</v>
      </c>
      <c r="F298" s="5" t="n">
        <v>0</v>
      </c>
      <c r="G298" s="5" t="n">
        <v>554.69</v>
      </c>
      <c r="H298" s="7" t="s">
        <v>65</v>
      </c>
      <c r="I298" s="7" t="s">
        <v>27</v>
      </c>
      <c r="J298" s="6" t="n">
        <v>0.6</v>
      </c>
      <c r="K298" s="2" t="s">
        <v>28</v>
      </c>
      <c r="L298" s="5" t="n">
        <f aca="false">IF($K298="Y",ROUND($E298/11,2),0)</f>
        <v>0.41</v>
      </c>
      <c r="M298" s="2"/>
      <c r="N298" s="2" t="s">
        <v>28</v>
      </c>
      <c r="O298" s="2" t="s">
        <v>496</v>
      </c>
    </row>
    <row r="299" customFormat="false" ht="15" hidden="false" customHeight="false" outlineLevel="0" collapsed="false">
      <c r="A299" s="2" t="s">
        <v>598</v>
      </c>
      <c r="B299" s="4" t="n">
        <v>46070</v>
      </c>
      <c r="C299" s="2" t="n">
        <v>26</v>
      </c>
      <c r="D299" s="2" t="s">
        <v>355</v>
      </c>
      <c r="E299" s="5" t="n">
        <v>10.5</v>
      </c>
      <c r="F299" s="5" t="n">
        <v>0</v>
      </c>
      <c r="G299" s="5" t="n">
        <v>544.19</v>
      </c>
      <c r="H299" s="2" t="s">
        <v>33</v>
      </c>
      <c r="I299" s="2" t="s">
        <v>27</v>
      </c>
      <c r="J299" s="6" t="n">
        <v>0.8</v>
      </c>
      <c r="K299" s="2" t="s">
        <v>28</v>
      </c>
      <c r="L299" s="5" t="n">
        <f aca="false">IF($K299="Y",ROUND($E299/11,2),0)</f>
        <v>0.95</v>
      </c>
      <c r="M299" s="2"/>
      <c r="N299" s="2" t="s">
        <v>29</v>
      </c>
      <c r="O299" s="2" t="s">
        <v>496</v>
      </c>
    </row>
    <row r="300" customFormat="false" ht="15" hidden="false" customHeight="false" outlineLevel="0" collapsed="false">
      <c r="A300" s="2" t="s">
        <v>599</v>
      </c>
      <c r="B300" s="4" t="n">
        <v>46070</v>
      </c>
      <c r="C300" s="2" t="n">
        <v>26</v>
      </c>
      <c r="D300" s="2" t="s">
        <v>600</v>
      </c>
      <c r="E300" s="5" t="n">
        <v>33</v>
      </c>
      <c r="F300" s="5" t="n">
        <v>0</v>
      </c>
      <c r="G300" s="5" t="n">
        <v>511.19</v>
      </c>
      <c r="H300" s="7" t="s">
        <v>105</v>
      </c>
      <c r="I300" s="7" t="s">
        <v>37</v>
      </c>
      <c r="J300" s="6" t="n">
        <v>0.3</v>
      </c>
      <c r="K300" s="2" t="s">
        <v>29</v>
      </c>
      <c r="L300" s="5" t="n">
        <f aca="false">IF($K300="Y",ROUND($E300/11,2),0)</f>
        <v>0</v>
      </c>
      <c r="M300" s="2"/>
      <c r="N300" s="2" t="s">
        <v>28</v>
      </c>
      <c r="O300" s="2" t="s">
        <v>496</v>
      </c>
    </row>
    <row r="301" customFormat="false" ht="15" hidden="false" customHeight="false" outlineLevel="0" collapsed="false">
      <c r="A301" s="2" t="s">
        <v>601</v>
      </c>
      <c r="B301" s="4" t="n">
        <v>46070</v>
      </c>
      <c r="C301" s="2" t="n">
        <v>26</v>
      </c>
      <c r="D301" s="2" t="s">
        <v>602</v>
      </c>
      <c r="E301" s="5" t="n">
        <v>82.79</v>
      </c>
      <c r="F301" s="5" t="n">
        <v>0</v>
      </c>
      <c r="G301" s="5" t="n">
        <v>428.4</v>
      </c>
      <c r="H301" s="2" t="s">
        <v>26</v>
      </c>
      <c r="I301" s="2" t="s">
        <v>27</v>
      </c>
      <c r="J301" s="6" t="n">
        <v>0.7</v>
      </c>
      <c r="K301" s="2" t="s">
        <v>28</v>
      </c>
      <c r="L301" s="5" t="n">
        <f aca="false">IF($K301="Y",ROUND($E301/11,2),0)</f>
        <v>7.53</v>
      </c>
      <c r="M301" s="2"/>
      <c r="N301" s="2" t="s">
        <v>29</v>
      </c>
      <c r="O301" s="2" t="s">
        <v>496</v>
      </c>
    </row>
    <row r="302" customFormat="false" ht="15" hidden="false" customHeight="false" outlineLevel="0" collapsed="false">
      <c r="A302" s="2" t="s">
        <v>603</v>
      </c>
      <c r="B302" s="4" t="n">
        <v>46071</v>
      </c>
      <c r="C302" s="2" t="n">
        <v>26</v>
      </c>
      <c r="D302" s="2" t="s">
        <v>604</v>
      </c>
      <c r="E302" s="5" t="n">
        <v>10</v>
      </c>
      <c r="F302" s="5" t="n">
        <v>0</v>
      </c>
      <c r="G302" s="5" t="n">
        <v>418.4</v>
      </c>
      <c r="H302" s="7" t="s">
        <v>105</v>
      </c>
      <c r="I302" s="7" t="s">
        <v>37</v>
      </c>
      <c r="J302" s="6" t="n">
        <v>0.3</v>
      </c>
      <c r="K302" s="2" t="s">
        <v>29</v>
      </c>
      <c r="L302" s="5" t="n">
        <f aca="false">IF($K302="Y",ROUND($E302/11,2),0)</f>
        <v>0</v>
      </c>
      <c r="M302" s="2"/>
      <c r="N302" s="2" t="s">
        <v>28</v>
      </c>
      <c r="O302" s="2" t="s">
        <v>496</v>
      </c>
    </row>
    <row r="303" customFormat="false" ht="15" hidden="false" customHeight="false" outlineLevel="0" collapsed="false">
      <c r="A303" s="2" t="s">
        <v>605</v>
      </c>
      <c r="B303" s="4" t="n">
        <v>46071</v>
      </c>
      <c r="C303" s="2" t="n">
        <v>26</v>
      </c>
      <c r="D303" s="2" t="s">
        <v>606</v>
      </c>
      <c r="E303" s="5" t="n">
        <v>16.46</v>
      </c>
      <c r="F303" s="5" t="n">
        <v>0</v>
      </c>
      <c r="G303" s="5" t="n">
        <v>401.94</v>
      </c>
      <c r="H303" s="7" t="s">
        <v>105</v>
      </c>
      <c r="I303" s="7" t="s">
        <v>37</v>
      </c>
      <c r="J303" s="6" t="n">
        <v>0.3</v>
      </c>
      <c r="K303" s="2" t="s">
        <v>29</v>
      </c>
      <c r="L303" s="5" t="n">
        <f aca="false">IF($K303="Y",ROUND($E303/11,2),0)</f>
        <v>0</v>
      </c>
      <c r="M303" s="2"/>
      <c r="N303" s="2" t="s">
        <v>28</v>
      </c>
      <c r="O303" s="2" t="s">
        <v>496</v>
      </c>
    </row>
    <row r="304" customFormat="false" ht="15" hidden="false" customHeight="false" outlineLevel="0" collapsed="false">
      <c r="A304" s="2" t="s">
        <v>607</v>
      </c>
      <c r="B304" s="4" t="n">
        <v>46071</v>
      </c>
      <c r="C304" s="2" t="n">
        <v>26</v>
      </c>
      <c r="D304" s="2" t="s">
        <v>608</v>
      </c>
      <c r="E304" s="5" t="n">
        <v>19.5</v>
      </c>
      <c r="F304" s="5" t="n">
        <v>0</v>
      </c>
      <c r="G304" s="5" t="n">
        <v>382.44</v>
      </c>
      <c r="H304" s="7" t="s">
        <v>105</v>
      </c>
      <c r="I304" s="7" t="s">
        <v>37</v>
      </c>
      <c r="J304" s="6" t="n">
        <v>0.3</v>
      </c>
      <c r="K304" s="2" t="s">
        <v>29</v>
      </c>
      <c r="L304" s="5" t="n">
        <f aca="false">IF($K304="Y",ROUND($E304/11,2),0)</f>
        <v>0</v>
      </c>
      <c r="M304" s="2"/>
      <c r="N304" s="2" t="s">
        <v>28</v>
      </c>
      <c r="O304" s="2" t="s">
        <v>496</v>
      </c>
    </row>
    <row r="305" customFormat="false" ht="15" hidden="false" customHeight="false" outlineLevel="0" collapsed="false">
      <c r="A305" s="2" t="s">
        <v>609</v>
      </c>
      <c r="B305" s="4" t="n">
        <v>46071</v>
      </c>
      <c r="C305" s="2" t="n">
        <v>26</v>
      </c>
      <c r="D305" s="2" t="s">
        <v>610</v>
      </c>
      <c r="E305" s="5" t="n">
        <v>32.3</v>
      </c>
      <c r="F305" s="5" t="n">
        <v>0</v>
      </c>
      <c r="G305" s="5" t="n">
        <v>350.14</v>
      </c>
      <c r="H305" s="2" t="s">
        <v>26</v>
      </c>
      <c r="I305" s="2" t="s">
        <v>27</v>
      </c>
      <c r="J305" s="6" t="n">
        <v>0.7</v>
      </c>
      <c r="K305" s="2" t="s">
        <v>28</v>
      </c>
      <c r="L305" s="5" t="n">
        <f aca="false">IF($K305="Y",ROUND($E305/11,2),0)</f>
        <v>2.94</v>
      </c>
      <c r="M305" s="2"/>
      <c r="N305" s="2" t="s">
        <v>29</v>
      </c>
      <c r="O305" s="2" t="s">
        <v>496</v>
      </c>
    </row>
    <row r="306" customFormat="false" ht="15" hidden="false" customHeight="false" outlineLevel="0" collapsed="false">
      <c r="A306" s="2" t="s">
        <v>611</v>
      </c>
      <c r="B306" s="4" t="n">
        <v>46071</v>
      </c>
      <c r="C306" s="2" t="n">
        <v>26</v>
      </c>
      <c r="D306" s="2" t="s">
        <v>612</v>
      </c>
      <c r="E306" s="5" t="n">
        <v>35.42</v>
      </c>
      <c r="F306" s="5" t="n">
        <v>0</v>
      </c>
      <c r="G306" s="5" t="n">
        <v>314.72</v>
      </c>
      <c r="H306" s="7" t="s">
        <v>105</v>
      </c>
      <c r="I306" s="7" t="s">
        <v>37</v>
      </c>
      <c r="J306" s="6" t="n">
        <v>0.3</v>
      </c>
      <c r="K306" s="2" t="s">
        <v>29</v>
      </c>
      <c r="L306" s="5" t="n">
        <f aca="false">IF($K306="Y",ROUND($E306/11,2),0)</f>
        <v>0</v>
      </c>
      <c r="M306" s="2"/>
      <c r="N306" s="2" t="s">
        <v>28</v>
      </c>
      <c r="O306" s="2" t="s">
        <v>496</v>
      </c>
    </row>
    <row r="307" customFormat="false" ht="15" hidden="false" customHeight="false" outlineLevel="0" collapsed="false">
      <c r="A307" s="2" t="s">
        <v>613</v>
      </c>
      <c r="B307" s="4" t="n">
        <v>46071</v>
      </c>
      <c r="C307" s="2" t="n">
        <v>26</v>
      </c>
      <c r="D307" s="2" t="s">
        <v>614</v>
      </c>
      <c r="E307" s="5" t="n">
        <v>38.99</v>
      </c>
      <c r="F307" s="5" t="n">
        <v>0</v>
      </c>
      <c r="G307" s="5" t="n">
        <v>275.73</v>
      </c>
      <c r="H307" s="2" t="s">
        <v>26</v>
      </c>
      <c r="I307" s="2" t="s">
        <v>27</v>
      </c>
      <c r="J307" s="6" t="n">
        <v>0.7</v>
      </c>
      <c r="K307" s="2" t="s">
        <v>28</v>
      </c>
      <c r="L307" s="5" t="n">
        <f aca="false">IF($K307="Y",ROUND($E307/11,2),0)</f>
        <v>3.54</v>
      </c>
      <c r="M307" s="2"/>
      <c r="N307" s="2" t="s">
        <v>29</v>
      </c>
      <c r="O307" s="2" t="s">
        <v>496</v>
      </c>
    </row>
    <row r="308" customFormat="false" ht="15" hidden="false" customHeight="false" outlineLevel="0" collapsed="false">
      <c r="A308" s="2" t="s">
        <v>615</v>
      </c>
      <c r="B308" s="4" t="n">
        <v>46071</v>
      </c>
      <c r="C308" s="2" t="n">
        <v>26</v>
      </c>
      <c r="D308" s="2" t="s">
        <v>616</v>
      </c>
      <c r="E308" s="5" t="n">
        <v>40.87</v>
      </c>
      <c r="F308" s="5" t="n">
        <v>0</v>
      </c>
      <c r="G308" s="5" t="n">
        <v>234.86</v>
      </c>
      <c r="H308" s="7" t="s">
        <v>105</v>
      </c>
      <c r="I308" s="7" t="s">
        <v>37</v>
      </c>
      <c r="J308" s="6" t="n">
        <v>0.3</v>
      </c>
      <c r="K308" s="2" t="s">
        <v>29</v>
      </c>
      <c r="L308" s="5" t="n">
        <f aca="false">IF($K308="Y",ROUND($E308/11,2),0)</f>
        <v>0</v>
      </c>
      <c r="M308" s="2"/>
      <c r="N308" s="2" t="s">
        <v>28</v>
      </c>
      <c r="O308" s="2" t="s">
        <v>496</v>
      </c>
    </row>
    <row r="309" customFormat="false" ht="15" hidden="false" customHeight="false" outlineLevel="0" collapsed="false">
      <c r="A309" s="2" t="s">
        <v>617</v>
      </c>
      <c r="B309" s="4" t="n">
        <v>46072</v>
      </c>
      <c r="C309" s="2" t="n">
        <v>26</v>
      </c>
      <c r="D309" s="2" t="s">
        <v>128</v>
      </c>
      <c r="E309" s="5" t="n">
        <v>0</v>
      </c>
      <c r="F309" s="5" t="n">
        <v>150</v>
      </c>
      <c r="G309" s="5" t="n">
        <v>384.86</v>
      </c>
      <c r="H309" s="7" t="s">
        <v>129</v>
      </c>
      <c r="I309" s="7" t="s">
        <v>37</v>
      </c>
      <c r="J309" s="6" t="n">
        <v>0.6</v>
      </c>
      <c r="K309" s="2" t="s">
        <v>29</v>
      </c>
      <c r="L309" s="5" t="n">
        <f aca="false">IF($K309="Y",ROUND($E309/11,2),0)</f>
        <v>0</v>
      </c>
      <c r="M309" s="2" t="s">
        <v>130</v>
      </c>
      <c r="N309" s="2" t="s">
        <v>28</v>
      </c>
      <c r="O309" s="2" t="s">
        <v>496</v>
      </c>
    </row>
    <row r="310" customFormat="false" ht="15" hidden="false" customHeight="false" outlineLevel="0" collapsed="false">
      <c r="A310" s="2" t="s">
        <v>618</v>
      </c>
      <c r="B310" s="4" t="n">
        <v>46072</v>
      </c>
      <c r="C310" s="2" t="n">
        <v>26</v>
      </c>
      <c r="D310" s="2" t="s">
        <v>619</v>
      </c>
      <c r="E310" s="5" t="n">
        <v>9</v>
      </c>
      <c r="F310" s="5" t="n">
        <v>0</v>
      </c>
      <c r="G310" s="5" t="n">
        <v>375.86</v>
      </c>
      <c r="H310" s="7" t="s">
        <v>105</v>
      </c>
      <c r="I310" s="7" t="s">
        <v>37</v>
      </c>
      <c r="J310" s="6" t="n">
        <v>0.3</v>
      </c>
      <c r="K310" s="2" t="s">
        <v>29</v>
      </c>
      <c r="L310" s="5" t="n">
        <f aca="false">IF($K310="Y",ROUND($E310/11,2),0)</f>
        <v>0</v>
      </c>
      <c r="M310" s="2"/>
      <c r="N310" s="2" t="s">
        <v>28</v>
      </c>
      <c r="O310" s="2" t="s">
        <v>496</v>
      </c>
    </row>
    <row r="311" customFormat="false" ht="15" hidden="false" customHeight="false" outlineLevel="0" collapsed="false">
      <c r="A311" s="2" t="s">
        <v>620</v>
      </c>
      <c r="B311" s="4" t="n">
        <v>46072</v>
      </c>
      <c r="C311" s="2" t="n">
        <v>26</v>
      </c>
      <c r="D311" s="2" t="s">
        <v>621</v>
      </c>
      <c r="E311" s="5" t="n">
        <v>30.47</v>
      </c>
      <c r="F311" s="5" t="n">
        <v>0</v>
      </c>
      <c r="G311" s="5" t="n">
        <v>345.39</v>
      </c>
      <c r="H311" s="7" t="s">
        <v>105</v>
      </c>
      <c r="I311" s="7" t="s">
        <v>37</v>
      </c>
      <c r="J311" s="6" t="n">
        <v>0.3</v>
      </c>
      <c r="K311" s="2" t="s">
        <v>29</v>
      </c>
      <c r="L311" s="5" t="n">
        <f aca="false">IF($K311="Y",ROUND($E311/11,2),0)</f>
        <v>0</v>
      </c>
      <c r="M311" s="2"/>
      <c r="N311" s="2" t="s">
        <v>28</v>
      </c>
      <c r="O311" s="2" t="s">
        <v>496</v>
      </c>
    </row>
    <row r="312" customFormat="false" ht="15" hidden="false" customHeight="false" outlineLevel="0" collapsed="false">
      <c r="A312" s="2" t="s">
        <v>622</v>
      </c>
      <c r="B312" s="4" t="n">
        <v>46073</v>
      </c>
      <c r="C312" s="2" t="n">
        <v>26</v>
      </c>
      <c r="D312" s="2" t="s">
        <v>128</v>
      </c>
      <c r="E312" s="5" t="n">
        <v>0</v>
      </c>
      <c r="F312" s="5" t="n">
        <v>335</v>
      </c>
      <c r="G312" s="5" t="n">
        <v>680.39</v>
      </c>
      <c r="H312" s="7" t="s">
        <v>129</v>
      </c>
      <c r="I312" s="7" t="s">
        <v>37</v>
      </c>
      <c r="J312" s="6" t="n">
        <v>0.6</v>
      </c>
      <c r="K312" s="2" t="s">
        <v>29</v>
      </c>
      <c r="L312" s="5" t="n">
        <f aca="false">IF($K312="Y",ROUND($E312/11,2),0)</f>
        <v>0</v>
      </c>
      <c r="M312" s="2" t="s">
        <v>130</v>
      </c>
      <c r="N312" s="2" t="s">
        <v>28</v>
      </c>
      <c r="O312" s="2" t="s">
        <v>496</v>
      </c>
    </row>
    <row r="313" customFormat="false" ht="15" hidden="false" customHeight="false" outlineLevel="0" collapsed="false">
      <c r="A313" s="2" t="s">
        <v>623</v>
      </c>
      <c r="B313" s="4" t="n">
        <v>46073</v>
      </c>
      <c r="C313" s="2" t="n">
        <v>26</v>
      </c>
      <c r="D313" s="2" t="s">
        <v>557</v>
      </c>
      <c r="E313" s="5" t="n">
        <v>0</v>
      </c>
      <c r="F313" s="5" t="n">
        <v>470</v>
      </c>
      <c r="G313" s="5" t="n">
        <v>1150.39</v>
      </c>
      <c r="H313" s="7" t="s">
        <v>51</v>
      </c>
      <c r="I313" s="7" t="s">
        <v>27</v>
      </c>
      <c r="J313" s="6" t="n">
        <v>0.55</v>
      </c>
      <c r="K313" s="2" t="s">
        <v>29</v>
      </c>
      <c r="L313" s="5" t="n">
        <f aca="false">IF($K313="Y",ROUND($E313/11,2),0)</f>
        <v>0</v>
      </c>
      <c r="M313" s="2"/>
      <c r="N313" s="2" t="s">
        <v>28</v>
      </c>
      <c r="O313" s="2" t="s">
        <v>496</v>
      </c>
    </row>
    <row r="314" customFormat="false" ht="15" hidden="false" customHeight="false" outlineLevel="0" collapsed="false">
      <c r="A314" s="2" t="s">
        <v>624</v>
      </c>
      <c r="B314" s="4" t="n">
        <v>46073</v>
      </c>
      <c r="C314" s="2" t="n">
        <v>26</v>
      </c>
      <c r="D314" s="2" t="s">
        <v>625</v>
      </c>
      <c r="E314" s="5" t="n">
        <v>0</v>
      </c>
      <c r="F314" s="5" t="n">
        <v>1000</v>
      </c>
      <c r="G314" s="5" t="n">
        <v>2150.39</v>
      </c>
      <c r="H314" s="7" t="s">
        <v>51</v>
      </c>
      <c r="I314" s="7" t="s">
        <v>27</v>
      </c>
      <c r="J314" s="6" t="n">
        <v>0.55</v>
      </c>
      <c r="K314" s="2" t="s">
        <v>29</v>
      </c>
      <c r="L314" s="5" t="n">
        <f aca="false">IF($K314="Y",ROUND($E314/11,2),0)</f>
        <v>0</v>
      </c>
      <c r="M314" s="2"/>
      <c r="N314" s="2" t="s">
        <v>28</v>
      </c>
      <c r="O314" s="2" t="s">
        <v>496</v>
      </c>
    </row>
    <row r="315" customFormat="false" ht="15" hidden="false" customHeight="false" outlineLevel="0" collapsed="false">
      <c r="A315" s="2" t="s">
        <v>626</v>
      </c>
      <c r="B315" s="4" t="n">
        <v>46073</v>
      </c>
      <c r="C315" s="2" t="n">
        <v>26</v>
      </c>
      <c r="D315" s="2" t="s">
        <v>627</v>
      </c>
      <c r="E315" s="5" t="n">
        <v>7</v>
      </c>
      <c r="F315" s="5" t="n">
        <v>0</v>
      </c>
      <c r="G315" s="5" t="n">
        <v>2143.39</v>
      </c>
      <c r="H315" s="7" t="s">
        <v>105</v>
      </c>
      <c r="I315" s="7" t="s">
        <v>37</v>
      </c>
      <c r="J315" s="6" t="n">
        <v>0.3</v>
      </c>
      <c r="K315" s="2" t="s">
        <v>29</v>
      </c>
      <c r="L315" s="5" t="n">
        <f aca="false">IF($K315="Y",ROUND($E315/11,2),0)</f>
        <v>0</v>
      </c>
      <c r="M315" s="2"/>
      <c r="N315" s="2" t="s">
        <v>28</v>
      </c>
      <c r="O315" s="2" t="s">
        <v>496</v>
      </c>
    </row>
    <row r="316" customFormat="false" ht="15" hidden="false" customHeight="false" outlineLevel="0" collapsed="false">
      <c r="A316" s="2" t="s">
        <v>628</v>
      </c>
      <c r="B316" s="4" t="n">
        <v>46073</v>
      </c>
      <c r="C316" s="2" t="n">
        <v>26</v>
      </c>
      <c r="D316" s="2" t="s">
        <v>629</v>
      </c>
      <c r="E316" s="5" t="n">
        <v>470</v>
      </c>
      <c r="F316" s="5" t="n">
        <v>0</v>
      </c>
      <c r="G316" s="5" t="n">
        <v>1673.39</v>
      </c>
      <c r="H316" s="7" t="s">
        <v>36</v>
      </c>
      <c r="I316" s="7" t="s">
        <v>37</v>
      </c>
      <c r="J316" s="6" t="n">
        <v>0.7</v>
      </c>
      <c r="K316" s="2" t="s">
        <v>29</v>
      </c>
      <c r="L316" s="5" t="n">
        <f aca="false">IF($K316="Y",ROUND($E316/11,2),0)</f>
        <v>0</v>
      </c>
      <c r="M316" s="2" t="s">
        <v>38</v>
      </c>
      <c r="N316" s="2" t="s">
        <v>28</v>
      </c>
      <c r="O316" s="2" t="s">
        <v>496</v>
      </c>
    </row>
    <row r="317" customFormat="false" ht="15" hidden="false" customHeight="false" outlineLevel="0" collapsed="false">
      <c r="A317" s="2" t="s">
        <v>630</v>
      </c>
      <c r="B317" s="4" t="n">
        <v>46073</v>
      </c>
      <c r="C317" s="2" t="n">
        <v>26</v>
      </c>
      <c r="D317" s="2" t="s">
        <v>631</v>
      </c>
      <c r="E317" s="5" t="n">
        <v>1334.26</v>
      </c>
      <c r="F317" s="5" t="n">
        <v>0</v>
      </c>
      <c r="G317" s="5" t="n">
        <v>339.13</v>
      </c>
      <c r="H317" s="7" t="s">
        <v>105</v>
      </c>
      <c r="I317" s="7" t="s">
        <v>37</v>
      </c>
      <c r="J317" s="6" t="n">
        <v>0.3</v>
      </c>
      <c r="K317" s="2" t="s">
        <v>29</v>
      </c>
      <c r="L317" s="5" t="n">
        <f aca="false">IF($K317="Y",ROUND($E317/11,2),0)</f>
        <v>0</v>
      </c>
      <c r="M317" s="2"/>
      <c r="N317" s="2" t="s">
        <v>28</v>
      </c>
      <c r="O317" s="2" t="s">
        <v>496</v>
      </c>
    </row>
  </sheetData>
  <autoFilter ref="A1:O3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5" min="3" style="0" width="12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7"/>
    <col collapsed="false" customWidth="true" hidden="false" outlineLevel="0" max="11" min="10" style="0" width="14"/>
    <col collapsed="false" customWidth="true" hidden="false" outlineLevel="0" max="13" min="12" style="0" width="11"/>
    <col collapsed="false" customWidth="true" hidden="false" outlineLevel="0" max="14" min="14" style="0" width="34"/>
  </cols>
  <sheetData>
    <row r="1" customFormat="false" ht="15" hidden="false" customHeight="false" outlineLevel="0" collapsed="false">
      <c r="A1" s="3" t="s">
        <v>632</v>
      </c>
      <c r="B1" s="3" t="s">
        <v>633</v>
      </c>
      <c r="C1" s="3" t="s">
        <v>634</v>
      </c>
      <c r="D1" s="3" t="s">
        <v>635</v>
      </c>
      <c r="E1" s="3" t="s">
        <v>636</v>
      </c>
      <c r="F1" s="3" t="s">
        <v>637</v>
      </c>
      <c r="G1" s="3" t="s">
        <v>638</v>
      </c>
      <c r="H1" s="3" t="s">
        <v>639</v>
      </c>
      <c r="I1" s="3" t="s">
        <v>640</v>
      </c>
      <c r="J1" s="3" t="s">
        <v>641</v>
      </c>
      <c r="K1" s="3" t="s">
        <v>642</v>
      </c>
      <c r="L1" s="3" t="s">
        <v>643</v>
      </c>
      <c r="M1" s="3" t="s">
        <v>644</v>
      </c>
      <c r="N1" s="3" t="s">
        <v>645</v>
      </c>
    </row>
    <row r="2" customFormat="false" ht="15" hidden="false" customHeight="false" outlineLevel="0" collapsed="false">
      <c r="A2" s="2" t="n">
        <v>4</v>
      </c>
      <c r="B2" s="2" t="s">
        <v>646</v>
      </c>
      <c r="C2" s="2" t="s">
        <v>647</v>
      </c>
      <c r="D2" s="2" t="s">
        <v>648</v>
      </c>
      <c r="E2" s="5" t="n">
        <v>2777.21</v>
      </c>
      <c r="F2" s="5" t="n">
        <v>17155</v>
      </c>
      <c r="G2" s="5" t="n">
        <v>12833.46</v>
      </c>
      <c r="H2" s="5" t="n">
        <v>7098.75</v>
      </c>
      <c r="I2" s="2" t="n">
        <v>44</v>
      </c>
      <c r="J2" s="5" t="n">
        <f aca="false">SUMIFS(Ledger!$F:$F,Ledger!$C:$C,$A2)</f>
        <v>17155</v>
      </c>
      <c r="K2" s="5" t="n">
        <f aca="false">SUMIFS(Ledger!$E:$E,Ledger!$C:$C,$A2)</f>
        <v>12833.46</v>
      </c>
      <c r="L2" s="2" t="str">
        <f aca="false">IF(ROUND($E2+$J2-$K2,2)=$H2,"OK","FAIL")</f>
        <v>OK</v>
      </c>
      <c r="M2" s="2" t="s">
        <v>649</v>
      </c>
      <c r="N2" s="2" t="s">
        <v>650</v>
      </c>
    </row>
    <row r="3" customFormat="false" ht="15" hidden="false" customHeight="false" outlineLevel="0" collapsed="false">
      <c r="A3" s="2" t="n">
        <v>8</v>
      </c>
      <c r="B3" s="2" t="s">
        <v>651</v>
      </c>
      <c r="C3" s="2" t="s">
        <v>652</v>
      </c>
      <c r="D3" s="2" t="s">
        <v>653</v>
      </c>
      <c r="E3" s="5" t="n">
        <v>0.58</v>
      </c>
      <c r="F3" s="5" t="n">
        <v>17070</v>
      </c>
      <c r="G3" s="5" t="n">
        <v>11830.55</v>
      </c>
      <c r="H3" s="5" t="n">
        <v>5240.03</v>
      </c>
      <c r="I3" s="2" t="n">
        <v>43</v>
      </c>
      <c r="J3" s="5" t="n">
        <f aca="false">SUMIFS(Ledger!$F:$F,Ledger!$C:$C,$A3)</f>
        <v>17070</v>
      </c>
      <c r="K3" s="5" t="n">
        <f aca="false">SUMIFS(Ledger!$E:$E,Ledger!$C:$C,$A3)</f>
        <v>11830.55</v>
      </c>
      <c r="L3" s="2" t="str">
        <f aca="false">IF(ROUND($E3+$J3-$K3,2)=$H3,"OK","FAIL")</f>
        <v>OK</v>
      </c>
      <c r="M3" s="2" t="s">
        <v>649</v>
      </c>
      <c r="N3" s="2" t="s">
        <v>654</v>
      </c>
    </row>
    <row r="4" customFormat="false" ht="15" hidden="false" customHeight="false" outlineLevel="0" collapsed="false">
      <c r="A4" s="2" t="n">
        <v>23</v>
      </c>
      <c r="B4" s="2" t="s">
        <v>655</v>
      </c>
      <c r="C4" s="2" t="s">
        <v>656</v>
      </c>
      <c r="D4" s="2" t="s">
        <v>657</v>
      </c>
      <c r="E4" s="5" t="n">
        <v>1937.84</v>
      </c>
      <c r="F4" s="5" t="n">
        <v>6000</v>
      </c>
      <c r="G4" s="5" t="n">
        <v>6444.52</v>
      </c>
      <c r="H4" s="5" t="n">
        <v>1493.32</v>
      </c>
      <c r="I4" s="2" t="n">
        <v>40</v>
      </c>
      <c r="J4" s="5" t="n">
        <f aca="false">SUMIFS(Ledger!$F:$F,Ledger!$C:$C,$A4)</f>
        <v>6000</v>
      </c>
      <c r="K4" s="5" t="n">
        <f aca="false">SUMIFS(Ledger!$E:$E,Ledger!$C:$C,$A4)</f>
        <v>6444.52</v>
      </c>
      <c r="L4" s="2" t="str">
        <f aca="false">IF(ROUND($E4+$J4-$K4,2)=$H4,"OK","FAIL")</f>
        <v>OK</v>
      </c>
      <c r="M4" s="2" t="s">
        <v>649</v>
      </c>
      <c r="N4" s="2"/>
    </row>
    <row r="5" customFormat="false" ht="15" hidden="false" customHeight="false" outlineLevel="0" collapsed="false">
      <c r="A5" s="2" t="n">
        <v>24</v>
      </c>
      <c r="B5" s="2" t="s">
        <v>658</v>
      </c>
      <c r="C5" s="2" t="s">
        <v>657</v>
      </c>
      <c r="D5" s="2" t="s">
        <v>659</v>
      </c>
      <c r="E5" s="5" t="n">
        <v>1493.32</v>
      </c>
      <c r="F5" s="5" t="n">
        <v>10081.35</v>
      </c>
      <c r="G5" s="5" t="n">
        <v>10569.42</v>
      </c>
      <c r="H5" s="5" t="n">
        <v>1005.25</v>
      </c>
      <c r="I5" s="2" t="n">
        <v>99</v>
      </c>
      <c r="J5" s="5" t="n">
        <f aca="false">SUMIFS(Ledger!$F:$F,Ledger!$C:$C,$A5)</f>
        <v>10081.35</v>
      </c>
      <c r="K5" s="5" t="n">
        <f aca="false">SUMIFS(Ledger!$E:$E,Ledger!$C:$C,$A5)</f>
        <v>10569.42</v>
      </c>
      <c r="L5" s="2" t="str">
        <f aca="false">IF(ROUND($E5+$J5-$K5,2)=$H5,"OK","FAIL")</f>
        <v>OK</v>
      </c>
      <c r="M5" s="2" t="s">
        <v>649</v>
      </c>
      <c r="N5" s="2" t="s">
        <v>660</v>
      </c>
    </row>
    <row r="6" customFormat="false" ht="15" hidden="false" customHeight="false" outlineLevel="0" collapsed="false">
      <c r="A6" s="2" t="n">
        <v>26</v>
      </c>
      <c r="B6" s="2" t="s">
        <v>661</v>
      </c>
      <c r="C6" s="2" t="s">
        <v>662</v>
      </c>
      <c r="D6" s="2" t="s">
        <v>663</v>
      </c>
      <c r="E6" s="5" t="n">
        <v>695.95</v>
      </c>
      <c r="F6" s="5" t="n">
        <v>18519.53</v>
      </c>
      <c r="G6" s="5" t="n">
        <v>18876.35</v>
      </c>
      <c r="H6" s="5" t="n">
        <v>339.13</v>
      </c>
      <c r="I6" s="2" t="n">
        <v>90</v>
      </c>
      <c r="J6" s="5" t="n">
        <f aca="false">SUMIFS(Ledger!$F:$F,Ledger!$C:$C,$A6)</f>
        <v>18519.53</v>
      </c>
      <c r="K6" s="5" t="n">
        <f aca="false">SUMIFS(Ledger!$E:$E,Ledger!$C:$C,$A6)</f>
        <v>18876.35</v>
      </c>
      <c r="L6" s="2" t="str">
        <f aca="false">IF(ROUND($E6+$J6-$K6,2)=$H6,"OK","FAIL")</f>
        <v>OK</v>
      </c>
      <c r="M6" s="2" t="s">
        <v>649</v>
      </c>
      <c r="N6" s="2" t="s">
        <v>664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"/>
  </cols>
  <sheetData>
    <row r="1" customFormat="false" ht="15" hidden="false" customHeight="false" outlineLevel="0" collapsed="false">
      <c r="A1" s="3" t="s">
        <v>23</v>
      </c>
      <c r="B1" s="3" t="s">
        <v>665</v>
      </c>
      <c r="C1" s="3" t="s">
        <v>666</v>
      </c>
      <c r="D1" s="3" t="s">
        <v>667</v>
      </c>
      <c r="E1" s="3" t="s">
        <v>668</v>
      </c>
      <c r="F1" s="3" t="s">
        <v>669</v>
      </c>
    </row>
    <row r="2" customFormat="false" ht="15" hidden="false" customHeight="false" outlineLevel="0" collapsed="false">
      <c r="A2" s="2" t="s">
        <v>30</v>
      </c>
      <c r="B2" s="5" t="n">
        <f aca="false">SUMIFS(Ledger!$F:$F,Ledger!$O:$O,$A2)</f>
        <v>0</v>
      </c>
      <c r="C2" s="5" t="n">
        <f aca="false">SUMIFS(Ledger!$E:$E,Ledger!$O:$O,$A2)</f>
        <v>1952.34</v>
      </c>
      <c r="D2" s="5" t="n">
        <f aca="false">$B2-$C2</f>
        <v>-1952.34</v>
      </c>
      <c r="E2" s="5" t="n">
        <f aca="false">SUMIFS(Ledger!$L:$L,Ledger!$O:$O,$A2)</f>
        <v>54.77</v>
      </c>
      <c r="F2" s="2" t="n">
        <f aca="false">COUNTIFS(Ledger!$O:$O,$A2)</f>
        <v>8</v>
      </c>
    </row>
    <row r="3" customFormat="false" ht="15" hidden="false" customHeight="false" outlineLevel="0" collapsed="false">
      <c r="A3" s="2" t="s">
        <v>52</v>
      </c>
      <c r="B3" s="5" t="n">
        <f aca="false">SUMIFS(Ledger!$F:$F,Ledger!$O:$O,$A3)</f>
        <v>17155</v>
      </c>
      <c r="C3" s="5" t="n">
        <f aca="false">SUMIFS(Ledger!$E:$E,Ledger!$O:$O,$A3)</f>
        <v>10881.12</v>
      </c>
      <c r="D3" s="5" t="n">
        <f aca="false">$B3-$C3</f>
        <v>6273.88</v>
      </c>
      <c r="E3" s="5" t="n">
        <f aca="false">SUMIFS(Ledger!$L:$L,Ledger!$O:$O,$A3)</f>
        <v>87.83</v>
      </c>
      <c r="F3" s="2" t="n">
        <f aca="false">COUNTIFS(Ledger!$O:$O,$A3)</f>
        <v>36</v>
      </c>
    </row>
    <row r="4" customFormat="false" ht="15" hidden="false" customHeight="false" outlineLevel="0" collapsed="false">
      <c r="A4" s="2" t="s">
        <v>126</v>
      </c>
      <c r="B4" s="5" t="n">
        <f aca="false">SUMIFS(Ledger!$F:$F,Ledger!$O:$O,$A4)</f>
        <v>5300</v>
      </c>
      <c r="C4" s="5" t="n">
        <f aca="false">SUMIFS(Ledger!$E:$E,Ledger!$O:$O,$A4)</f>
        <v>3273.18</v>
      </c>
      <c r="D4" s="5" t="n">
        <f aca="false">$B4-$C4</f>
        <v>2026.82</v>
      </c>
      <c r="E4" s="5" t="n">
        <f aca="false">SUMIFS(Ledger!$L:$L,Ledger!$O:$O,$A4)</f>
        <v>12.99</v>
      </c>
      <c r="F4" s="2" t="n">
        <f aca="false">COUNTIFS(Ledger!$O:$O,$A4)</f>
        <v>13</v>
      </c>
    </row>
    <row r="5" customFormat="false" ht="15" hidden="false" customHeight="false" outlineLevel="0" collapsed="false">
      <c r="A5" s="2" t="s">
        <v>156</v>
      </c>
      <c r="B5" s="5" t="n">
        <f aca="false">SUMIFS(Ledger!$F:$F,Ledger!$O:$O,$A5)</f>
        <v>11770</v>
      </c>
      <c r="C5" s="5" t="n">
        <f aca="false">SUMIFS(Ledger!$E:$E,Ledger!$O:$O,$A5)</f>
        <v>8557.37</v>
      </c>
      <c r="D5" s="5" t="n">
        <f aca="false">$B5-$C5</f>
        <v>3212.63</v>
      </c>
      <c r="E5" s="5" t="n">
        <f aca="false">SUMIFS(Ledger!$L:$L,Ledger!$O:$O,$A5)</f>
        <v>128.04</v>
      </c>
      <c r="F5" s="2" t="n">
        <f aca="false">COUNTIFS(Ledger!$O:$O,$A5)</f>
        <v>30</v>
      </c>
    </row>
    <row r="6" customFormat="false" ht="15" hidden="false" customHeight="false" outlineLevel="0" collapsed="false">
      <c r="A6" s="2" t="s">
        <v>216</v>
      </c>
      <c r="B6" s="5" t="n">
        <f aca="false">SUMIFS(Ledger!$F:$F,Ledger!$O:$O,$A6)</f>
        <v>0</v>
      </c>
      <c r="C6" s="5" t="n">
        <f aca="false">SUMIFS(Ledger!$E:$E,Ledger!$O:$O,$A6)</f>
        <v>878.96</v>
      </c>
      <c r="D6" s="5" t="n">
        <f aca="false">$B6-$C6</f>
        <v>-878.96</v>
      </c>
      <c r="E6" s="5" t="n">
        <f aca="false">SUMIFS(Ledger!$L:$L,Ledger!$O:$O,$A6)</f>
        <v>73.53</v>
      </c>
      <c r="F6" s="2" t="n">
        <f aca="false">COUNTIFS(Ledger!$O:$O,$A6)</f>
        <v>11</v>
      </c>
    </row>
    <row r="7" customFormat="false" ht="15" hidden="false" customHeight="false" outlineLevel="0" collapsed="false">
      <c r="A7" s="2" t="s">
        <v>237</v>
      </c>
      <c r="B7" s="5" t="n">
        <f aca="false">SUMIFS(Ledger!$F:$F,Ledger!$O:$O,$A7)</f>
        <v>7059</v>
      </c>
      <c r="C7" s="5" t="n">
        <f aca="false">SUMIFS(Ledger!$E:$E,Ledger!$O:$O,$A7)</f>
        <v>6400.65</v>
      </c>
      <c r="D7" s="5" t="n">
        <f aca="false">$B7-$C7</f>
        <v>658.35</v>
      </c>
      <c r="E7" s="5" t="n">
        <f aca="false">SUMIFS(Ledger!$L:$L,Ledger!$O:$O,$A7)</f>
        <v>68.8</v>
      </c>
      <c r="F7" s="2" t="n">
        <f aca="false">COUNTIFS(Ledger!$O:$O,$A7)</f>
        <v>51</v>
      </c>
    </row>
    <row r="8" customFormat="false" ht="15" hidden="false" customHeight="false" outlineLevel="0" collapsed="false">
      <c r="A8" s="2" t="s">
        <v>337</v>
      </c>
      <c r="B8" s="5" t="n">
        <f aca="false">SUMIFS(Ledger!$F:$F,Ledger!$O:$O,$A8)</f>
        <v>9022.35</v>
      </c>
      <c r="C8" s="5" t="n">
        <f aca="false">SUMIFS(Ledger!$E:$E,Ledger!$O:$O,$A8)</f>
        <v>9734.33</v>
      </c>
      <c r="D8" s="5" t="n">
        <f aca="false">$B8-$C8</f>
        <v>-711.98</v>
      </c>
      <c r="E8" s="5" t="n">
        <f aca="false">SUMIFS(Ledger!$L:$L,Ledger!$O:$O,$A8)</f>
        <v>39</v>
      </c>
      <c r="F8" s="2" t="n">
        <f aca="false">COUNTIFS(Ledger!$O:$O,$A8)</f>
        <v>77</v>
      </c>
    </row>
    <row r="9" customFormat="false" ht="15" hidden="false" customHeight="false" outlineLevel="0" collapsed="false">
      <c r="A9" s="2" t="s">
        <v>463</v>
      </c>
      <c r="B9" s="5" t="n">
        <f aca="false">SUMIFS(Ledger!$F:$F,Ledger!$O:$O,$A9)</f>
        <v>5082.74</v>
      </c>
      <c r="C9" s="5" t="n">
        <f aca="false">SUMIFS(Ledger!$E:$E,Ledger!$O:$O,$A9)</f>
        <v>3610.77</v>
      </c>
      <c r="D9" s="5" t="n">
        <f aca="false">$B9-$C9</f>
        <v>1471.97</v>
      </c>
      <c r="E9" s="5" t="n">
        <f aca="false">SUMIFS(Ledger!$L:$L,Ledger!$O:$O,$A9)</f>
        <v>36.77</v>
      </c>
      <c r="F9" s="2" t="n">
        <f aca="false">COUNTIFS(Ledger!$O:$O,$A9)</f>
        <v>18</v>
      </c>
    </row>
    <row r="10" customFormat="false" ht="15" hidden="false" customHeight="false" outlineLevel="0" collapsed="false">
      <c r="A10" s="2" t="s">
        <v>496</v>
      </c>
      <c r="B10" s="5" t="n">
        <f aca="false">SUMIFS(Ledger!$F:$F,Ledger!$O:$O,$A10)</f>
        <v>13436.79</v>
      </c>
      <c r="C10" s="5" t="n">
        <f aca="false">SUMIFS(Ledger!$E:$E,Ledger!$O:$O,$A10)</f>
        <v>15265.58</v>
      </c>
      <c r="D10" s="5" t="n">
        <f aca="false">$B10-$C10</f>
        <v>-1828.79</v>
      </c>
      <c r="E10" s="5" t="n">
        <f aca="false">SUMIFS(Ledger!$L:$L,Ledger!$O:$O,$A10)</f>
        <v>70.95</v>
      </c>
      <c r="F10" s="2" t="n">
        <f aca="false">COUNTIFS(Ledger!$O:$O,$A10)</f>
        <v>72</v>
      </c>
    </row>
    <row r="11" customFormat="false" ht="15" hidden="false" customHeight="false" outlineLevel="0" collapsed="false">
      <c r="A11" s="1" t="s">
        <v>670</v>
      </c>
      <c r="B11" s="8" t="n">
        <f aca="false">SUM(B2:B10)</f>
        <v>68825.88</v>
      </c>
      <c r="C11" s="8" t="n">
        <f aca="false">SUM(C2:C10)</f>
        <v>60554.3</v>
      </c>
      <c r="D11" s="8" t="n">
        <f aca="false">SUM(D2:D10)</f>
        <v>8271.58</v>
      </c>
      <c r="E11" s="8" t="n">
        <f aca="false">SUM(E2:E10)</f>
        <v>572.68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8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3" t="s">
        <v>16</v>
      </c>
      <c r="B1" s="3" t="s">
        <v>638</v>
      </c>
      <c r="C1" s="3" t="s">
        <v>637</v>
      </c>
      <c r="D1" s="3" t="s">
        <v>20</v>
      </c>
      <c r="E1" s="3" t="s">
        <v>669</v>
      </c>
      <c r="F1" s="3" t="s">
        <v>671</v>
      </c>
    </row>
    <row r="2" customFormat="false" ht="15" hidden="false" customHeight="false" outlineLevel="0" collapsed="false">
      <c r="A2" s="2" t="s">
        <v>129</v>
      </c>
      <c r="B2" s="5" t="n">
        <f aca="false">SUMIFS(Ledger!$E:$E,Ledger!$H:$H,$A2)</f>
        <v>0</v>
      </c>
      <c r="C2" s="5" t="n">
        <f aca="false">SUMIFS(Ledger!$F:$F,Ledger!$H:$H,$A2)</f>
        <v>735</v>
      </c>
      <c r="D2" s="5" t="n">
        <f aca="false">SUMIFS(Ledger!$L:$L,Ledger!$H:$H,$A2)</f>
        <v>0</v>
      </c>
      <c r="E2" s="2" t="n">
        <f aca="false">COUNTIFS(Ledger!$H:$H,$A2)</f>
        <v>5</v>
      </c>
      <c r="F2" s="9" t="n">
        <f aca="false">IF(SUM(Ledger!$E:$E)=0,0,$B2/SUM(Ledger!$E:$E))</f>
        <v>0</v>
      </c>
    </row>
    <row r="3" customFormat="false" ht="15" hidden="false" customHeight="false" outlineLevel="0" collapsed="false">
      <c r="A3" s="2" t="s">
        <v>36</v>
      </c>
      <c r="B3" s="5" t="n">
        <f aca="false">SUMIFS(Ledger!$E:$E,Ledger!$H:$H,$A3)</f>
        <v>27582</v>
      </c>
      <c r="C3" s="5" t="n">
        <f aca="false">SUMIFS(Ledger!$F:$F,Ledger!$H:$H,$A3)</f>
        <v>0</v>
      </c>
      <c r="D3" s="5" t="n">
        <f aca="false">SUMIFS(Ledger!$L:$L,Ledger!$H:$H,$A3)</f>
        <v>0</v>
      </c>
      <c r="E3" s="2" t="n">
        <f aca="false">COUNTIFS(Ledger!$H:$H,$A3)</f>
        <v>64</v>
      </c>
      <c r="F3" s="9" t="n">
        <f aca="false">IF(SUM(Ledger!$E:$E)=0,0,$B3/SUM(Ledger!$E:$E))</f>
        <v>0.455492012953663</v>
      </c>
    </row>
    <row r="4" customFormat="false" ht="15" hidden="false" customHeight="false" outlineLevel="0" collapsed="false">
      <c r="A4" s="2" t="s">
        <v>153</v>
      </c>
      <c r="B4" s="5" t="n">
        <f aca="false">SUMIFS(Ledger!$E:$E,Ledger!$H:$H,$A4)</f>
        <v>0.18</v>
      </c>
      <c r="C4" s="5" t="n">
        <f aca="false">SUMIFS(Ledger!$F:$F,Ledger!$H:$H,$A4)</f>
        <v>0</v>
      </c>
      <c r="D4" s="5" t="n">
        <f aca="false">SUMIFS(Ledger!$L:$L,Ledger!$H:$H,$A4)</f>
        <v>0</v>
      </c>
      <c r="E4" s="2" t="n">
        <f aca="false">COUNTIFS(Ledger!$H:$H,$A4)</f>
        <v>1</v>
      </c>
      <c r="F4" s="9" t="n">
        <f aca="false">IF(SUM(Ledger!$E:$E)=0,0,$B4/SUM(Ledger!$E:$E))</f>
        <v>2.97253869667389E-006</v>
      </c>
    </row>
    <row r="5" customFormat="false" ht="15" hidden="false" customHeight="false" outlineLevel="0" collapsed="false">
      <c r="A5" s="2" t="s">
        <v>242</v>
      </c>
      <c r="B5" s="5" t="n">
        <f aca="false">SUMIFS(Ledger!$E:$E,Ledger!$H:$H,$A5)</f>
        <v>7850</v>
      </c>
      <c r="C5" s="5" t="n">
        <f aca="false">SUMIFS(Ledger!$F:$F,Ledger!$H:$H,$A5)</f>
        <v>0</v>
      </c>
      <c r="D5" s="5" t="n">
        <f aca="false">SUMIFS(Ledger!$L:$L,Ledger!$H:$H,$A5)</f>
        <v>0</v>
      </c>
      <c r="E5" s="2" t="n">
        <f aca="false">COUNTIFS(Ledger!$H:$H,$A5)</f>
        <v>8</v>
      </c>
      <c r="F5" s="9" t="n">
        <f aca="false">IF(SUM(Ledger!$E:$E)=0,0,$B5/SUM(Ledger!$E:$E))</f>
        <v>0.129635715382723</v>
      </c>
    </row>
    <row r="6" customFormat="false" ht="15" hidden="false" customHeight="false" outlineLevel="0" collapsed="false">
      <c r="A6" s="2" t="s">
        <v>26</v>
      </c>
      <c r="B6" s="5" t="n">
        <f aca="false">SUMIFS(Ledger!$E:$E,Ledger!$H:$H,$A6)</f>
        <v>2259.03</v>
      </c>
      <c r="C6" s="5" t="n">
        <f aca="false">SUMIFS(Ledger!$F:$F,Ledger!$H:$H,$A6)</f>
        <v>0</v>
      </c>
      <c r="D6" s="5" t="n">
        <f aca="false">SUMIFS(Ledger!$L:$L,Ledger!$H:$H,$A6)</f>
        <v>205.36</v>
      </c>
      <c r="E6" s="2" t="n">
        <f aca="false">COUNTIFS(Ledger!$H:$H,$A6)</f>
        <v>33</v>
      </c>
      <c r="F6" s="9" t="n">
        <f aca="false">IF(SUM(Ledger!$E:$E)=0,0,$B6/SUM(Ledger!$E:$E))</f>
        <v>0.0373058560663735</v>
      </c>
    </row>
    <row r="7" customFormat="false" ht="15" hidden="false" customHeight="false" outlineLevel="0" collapsed="false">
      <c r="A7" s="2" t="s">
        <v>308</v>
      </c>
      <c r="B7" s="5" t="n">
        <f aca="false">SUMIFS(Ledger!$E:$E,Ledger!$H:$H,$A7)</f>
        <v>310.59</v>
      </c>
      <c r="C7" s="5" t="n">
        <f aca="false">SUMIFS(Ledger!$F:$F,Ledger!$H:$H,$A7)</f>
        <v>0</v>
      </c>
      <c r="D7" s="5" t="n">
        <f aca="false">SUMIFS(Ledger!$L:$L,Ledger!$H:$H,$A7)</f>
        <v>0</v>
      </c>
      <c r="E7" s="2" t="n">
        <f aca="false">COUNTIFS(Ledger!$H:$H,$A7)</f>
        <v>5</v>
      </c>
      <c r="F7" s="9" t="n">
        <f aca="false">IF(SUM(Ledger!$E:$E)=0,0,$B7/SUM(Ledger!$E:$E))</f>
        <v>0.00512911552111081</v>
      </c>
    </row>
    <row r="8" customFormat="false" ht="15" hidden="false" customHeight="false" outlineLevel="0" collapsed="false">
      <c r="A8" s="2" t="s">
        <v>51</v>
      </c>
      <c r="B8" s="5" t="n">
        <f aca="false">SUMIFS(Ledger!$E:$E,Ledger!$H:$H,$A8)</f>
        <v>0</v>
      </c>
      <c r="C8" s="5" t="n">
        <f aca="false">SUMIFS(Ledger!$F:$F,Ledger!$H:$H,$A8)</f>
        <v>68090.88</v>
      </c>
      <c r="D8" s="5" t="n">
        <f aca="false">SUMIFS(Ledger!$L:$L,Ledger!$H:$H,$A8)</f>
        <v>0</v>
      </c>
      <c r="E8" s="2" t="n">
        <f aca="false">COUNTIFS(Ledger!$H:$H,$A8)</f>
        <v>36</v>
      </c>
      <c r="F8" s="9" t="n">
        <f aca="false">IF(SUM(Ledger!$E:$E)=0,0,$B8/SUM(Ledger!$E:$E))</f>
        <v>0</v>
      </c>
    </row>
    <row r="9" customFormat="false" ht="15" hidden="false" customHeight="false" outlineLevel="0" collapsed="false">
      <c r="A9" s="2" t="s">
        <v>271</v>
      </c>
      <c r="B9" s="5" t="n">
        <f aca="false">SUMIFS(Ledger!$E:$E,Ledger!$H:$H,$A9)</f>
        <v>339.72</v>
      </c>
      <c r="C9" s="5" t="n">
        <f aca="false">SUMIFS(Ledger!$F:$F,Ledger!$H:$H,$A9)</f>
        <v>0</v>
      </c>
      <c r="D9" s="5" t="n">
        <f aca="false">SUMIFS(Ledger!$L:$L,Ledger!$H:$H,$A9)</f>
        <v>30.87</v>
      </c>
      <c r="E9" s="2" t="n">
        <f aca="false">COUNTIFS(Ledger!$H:$H,$A9)</f>
        <v>3</v>
      </c>
      <c r="F9" s="9" t="n">
        <f aca="false">IF(SUM(Ledger!$E:$E)=0,0,$B9/SUM(Ledger!$E:$E))</f>
        <v>0.00561017136685586</v>
      </c>
    </row>
    <row r="10" customFormat="false" ht="15" hidden="false" customHeight="false" outlineLevel="0" collapsed="false">
      <c r="A10" s="2" t="s">
        <v>33</v>
      </c>
      <c r="B10" s="5" t="n">
        <f aca="false">SUMIFS(Ledger!$E:$E,Ledger!$H:$H,$A10)</f>
        <v>3241.13</v>
      </c>
      <c r="C10" s="5" t="n">
        <f aca="false">SUMIFS(Ledger!$F:$F,Ledger!$H:$H,$A10)</f>
        <v>0</v>
      </c>
      <c r="D10" s="5" t="n">
        <f aca="false">SUMIFS(Ledger!$L:$L,Ledger!$H:$H,$A10)</f>
        <v>294.64</v>
      </c>
      <c r="E10" s="2" t="n">
        <f aca="false">COUNTIFS(Ledger!$H:$H,$A10)</f>
        <v>24</v>
      </c>
      <c r="F10" s="9" t="n">
        <f aca="false">IF(SUM(Ledger!$E:$E)=0,0,$B10/SUM(Ledger!$E:$E))</f>
        <v>0.0535243574775037</v>
      </c>
    </row>
    <row r="11" customFormat="false" ht="15" hidden="false" customHeight="false" outlineLevel="0" collapsed="false">
      <c r="A11" s="2" t="s">
        <v>105</v>
      </c>
      <c r="B11" s="5" t="n">
        <f aca="false">SUMIFS(Ledger!$E:$E,Ledger!$H:$H,$A11)</f>
        <v>17831.85</v>
      </c>
      <c r="C11" s="5" t="n">
        <f aca="false">SUMIFS(Ledger!$F:$F,Ledger!$H:$H,$A11)</f>
        <v>0</v>
      </c>
      <c r="D11" s="5" t="n">
        <f aca="false">SUMIFS(Ledger!$L:$L,Ledger!$H:$H,$A11)</f>
        <v>0</v>
      </c>
      <c r="E11" s="2" t="n">
        <f aca="false">COUNTIFS(Ledger!$H:$H,$A11)</f>
        <v>97</v>
      </c>
      <c r="F11" s="9" t="n">
        <f aca="false">IF(SUM(Ledger!$E:$E)=0,0,$B11/SUM(Ledger!$E:$E))</f>
        <v>0.29447702310158</v>
      </c>
    </row>
    <row r="12" customFormat="false" ht="15" hidden="false" customHeight="false" outlineLevel="0" collapsed="false">
      <c r="A12" s="2" t="s">
        <v>260</v>
      </c>
      <c r="B12" s="5" t="n">
        <f aca="false">SUMIFS(Ledger!$E:$E,Ledger!$H:$H,$A12)</f>
        <v>60</v>
      </c>
      <c r="C12" s="5" t="n">
        <f aca="false">SUMIFS(Ledger!$F:$F,Ledger!$H:$H,$A12)</f>
        <v>0</v>
      </c>
      <c r="D12" s="5" t="n">
        <f aca="false">SUMIFS(Ledger!$L:$L,Ledger!$H:$H,$A12)</f>
        <v>5.46</v>
      </c>
      <c r="E12" s="2" t="n">
        <f aca="false">COUNTIFS(Ledger!$H:$H,$A12)</f>
        <v>2</v>
      </c>
      <c r="F12" s="9" t="n">
        <f aca="false">IF(SUM(Ledger!$E:$E)=0,0,$B12/SUM(Ledger!$E:$E))</f>
        <v>0.000990846232224631</v>
      </c>
    </row>
    <row r="13" customFormat="false" ht="15" hidden="false" customHeight="false" outlineLevel="0" collapsed="false">
      <c r="A13" s="2" t="s">
        <v>65</v>
      </c>
      <c r="B13" s="5" t="n">
        <f aca="false">SUMIFS(Ledger!$E:$E,Ledger!$H:$H,$A13)</f>
        <v>200.28</v>
      </c>
      <c r="C13" s="5" t="n">
        <f aca="false">SUMIFS(Ledger!$F:$F,Ledger!$H:$H,$A13)</f>
        <v>0</v>
      </c>
      <c r="D13" s="5" t="n">
        <f aca="false">SUMIFS(Ledger!$L:$L,Ledger!$H:$H,$A13)</f>
        <v>18.19</v>
      </c>
      <c r="E13" s="2" t="n">
        <f aca="false">COUNTIFS(Ledger!$H:$H,$A13)</f>
        <v>7</v>
      </c>
      <c r="F13" s="9" t="n">
        <f aca="false">IF(SUM(Ledger!$E:$E)=0,0,$B13/SUM(Ledger!$E:$E))</f>
        <v>0.00330744472316582</v>
      </c>
    </row>
    <row r="14" customFormat="false" ht="15" hidden="false" customHeight="false" outlineLevel="0" collapsed="false">
      <c r="A14" s="2" t="s">
        <v>294</v>
      </c>
      <c r="B14" s="5" t="n">
        <f aca="false">SUMIFS(Ledger!$E:$E,Ledger!$H:$H,$A14)</f>
        <v>679.52</v>
      </c>
      <c r="C14" s="5" t="n">
        <f aca="false">SUMIFS(Ledger!$F:$F,Ledger!$H:$H,$A14)</f>
        <v>0</v>
      </c>
      <c r="D14" s="5" t="n">
        <f aca="false">SUMIFS(Ledger!$L:$L,Ledger!$H:$H,$A14)</f>
        <v>0</v>
      </c>
      <c r="E14" s="2" t="n">
        <f aca="false">COUNTIFS(Ledger!$H:$H,$A14)</f>
        <v>23</v>
      </c>
      <c r="F14" s="9" t="n">
        <f aca="false">IF(SUM(Ledger!$E:$E)=0,0,$B14/SUM(Ledger!$E:$E))</f>
        <v>0.0112216638620214</v>
      </c>
    </row>
    <row r="15" customFormat="false" ht="15" hidden="false" customHeight="false" outlineLevel="0" collapsed="false">
      <c r="A15" s="2" t="s">
        <v>125</v>
      </c>
      <c r="B15" s="5" t="n">
        <f aca="false">SUMIFS(Ledger!$E:$E,Ledger!$H:$H,$A15)</f>
        <v>200</v>
      </c>
      <c r="C15" s="5" t="n">
        <f aca="false">SUMIFS(Ledger!$F:$F,Ledger!$H:$H,$A15)</f>
        <v>0</v>
      </c>
      <c r="D15" s="5" t="n">
        <f aca="false">SUMIFS(Ledger!$L:$L,Ledger!$H:$H,$A15)</f>
        <v>18.16</v>
      </c>
      <c r="E15" s="2" t="n">
        <f aca="false">COUNTIFS(Ledger!$H:$H,$A15)</f>
        <v>8</v>
      </c>
      <c r="F15" s="9" t="n">
        <f aca="false">IF(SUM(Ledger!$E:$E)=0,0,$B15/SUM(Ledger!$E:$E))</f>
        <v>0.0033028207740821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52"/>
    <col collapsed="false" customWidth="true" hidden="false" outlineLevel="0" max="5" min="4" style="0" width="12"/>
    <col collapsed="false" customWidth="true" hidden="false" outlineLevel="0" max="6" min="6" style="0" width="34"/>
  </cols>
  <sheetData>
    <row r="1" customFormat="false" ht="15" hidden="false" customHeight="false" outlineLevel="0" collapsed="false">
      <c r="A1" s="3" t="s">
        <v>672</v>
      </c>
      <c r="B1" s="3" t="s">
        <v>673</v>
      </c>
    </row>
    <row r="2" customFormat="false" ht="15" hidden="false" customHeight="false" outlineLevel="0" collapsed="false">
      <c r="A2" s="2" t="s">
        <v>674</v>
      </c>
      <c r="B2" s="2" t="n">
        <f aca="false">COUNTIF(Ledger!$M:$M,"*DIV7A*")</f>
        <v>64</v>
      </c>
    </row>
    <row r="3" customFormat="false" ht="15" hidden="false" customHeight="false" outlineLevel="0" collapsed="false">
      <c r="A3" s="2" t="s">
        <v>675</v>
      </c>
      <c r="B3" s="2" t="n">
        <f aca="false">COUNTIF(Ledger!$M:$M,"*ASSOCIATE*")</f>
        <v>69</v>
      </c>
    </row>
    <row r="4" customFormat="false" ht="15" hidden="false" customHeight="false" outlineLevel="0" collapsed="false">
      <c r="A4" s="2" t="s">
        <v>676</v>
      </c>
      <c r="B4" s="2" t="n">
        <f aca="false">COUNTIF(Ledger!$M:$M,"*AUSTRAC*")</f>
        <v>0</v>
      </c>
    </row>
    <row r="5" customFormat="false" ht="15" hidden="false" customHeight="false" outlineLevel="0" collapsed="false">
      <c r="A5" s="2" t="s">
        <v>677</v>
      </c>
      <c r="B5" s="2" t="n">
        <f aca="false">COUNTIF(Ledger!$M:$M,"*REMITTANCE*")</f>
        <v>0</v>
      </c>
    </row>
    <row r="6" customFormat="false" ht="15" hidden="false" customHeight="false" outlineLevel="0" collapsed="false">
      <c r="A6" s="2" t="s">
        <v>138</v>
      </c>
      <c r="B6" s="2" t="n">
        <f aca="false">COUNTIF(Ledger!$M:$M,"*REZA*")</f>
        <v>4</v>
      </c>
    </row>
    <row r="8" customFormat="false" ht="15" hidden="false" customHeight="false" outlineLevel="0" collapsed="false">
      <c r="A8" s="1" t="s">
        <v>678</v>
      </c>
    </row>
    <row r="9" customFormat="false" ht="15" hidden="false" customHeight="false" outlineLevel="0" collapsed="false">
      <c r="A9" s="10" t="s">
        <v>9</v>
      </c>
      <c r="B9" s="10" t="s">
        <v>10</v>
      </c>
      <c r="C9" s="10" t="s">
        <v>12</v>
      </c>
      <c r="D9" s="10" t="s">
        <v>13</v>
      </c>
      <c r="E9" s="10" t="s">
        <v>14</v>
      </c>
      <c r="F9" s="10" t="s">
        <v>21</v>
      </c>
    </row>
    <row r="10" customFormat="false" ht="15" hidden="false" customHeight="false" outlineLevel="0" collapsed="false">
      <c r="A10" s="2" t="s">
        <v>34</v>
      </c>
      <c r="B10" s="2" t="s">
        <v>679</v>
      </c>
      <c r="C10" s="2" t="s">
        <v>680</v>
      </c>
      <c r="D10" s="5" t="n">
        <v>500</v>
      </c>
      <c r="E10" s="5" t="n">
        <v>0</v>
      </c>
      <c r="F10" s="2" t="s">
        <v>38</v>
      </c>
    </row>
    <row r="11" customFormat="false" ht="15" hidden="false" customHeight="false" outlineLevel="0" collapsed="false">
      <c r="A11" s="2" t="s">
        <v>39</v>
      </c>
      <c r="B11" s="2" t="s">
        <v>681</v>
      </c>
      <c r="C11" s="2" t="s">
        <v>40</v>
      </c>
      <c r="D11" s="5" t="n">
        <v>100</v>
      </c>
      <c r="E11" s="5" t="n">
        <v>0</v>
      </c>
      <c r="F11" s="2" t="s">
        <v>38</v>
      </c>
    </row>
    <row r="12" customFormat="false" ht="15" hidden="false" customHeight="false" outlineLevel="0" collapsed="false">
      <c r="A12" s="2" t="s">
        <v>41</v>
      </c>
      <c r="B12" s="2" t="s">
        <v>681</v>
      </c>
      <c r="C12" s="2" t="s">
        <v>42</v>
      </c>
      <c r="D12" s="5" t="n">
        <v>150</v>
      </c>
      <c r="E12" s="5" t="n">
        <v>0</v>
      </c>
      <c r="F12" s="2" t="s">
        <v>38</v>
      </c>
    </row>
    <row r="13" customFormat="false" ht="15" hidden="false" customHeight="false" outlineLevel="0" collapsed="false">
      <c r="A13" s="2" t="s">
        <v>43</v>
      </c>
      <c r="B13" s="2" t="s">
        <v>681</v>
      </c>
      <c r="C13" s="2" t="s">
        <v>44</v>
      </c>
      <c r="D13" s="5" t="n">
        <v>400</v>
      </c>
      <c r="E13" s="5" t="n">
        <v>0</v>
      </c>
      <c r="F13" s="2" t="s">
        <v>38</v>
      </c>
    </row>
    <row r="14" customFormat="false" ht="15" hidden="false" customHeight="false" outlineLevel="0" collapsed="false">
      <c r="A14" s="2" t="s">
        <v>45</v>
      </c>
      <c r="B14" s="2" t="s">
        <v>682</v>
      </c>
      <c r="C14" s="2" t="s">
        <v>46</v>
      </c>
      <c r="D14" s="5" t="n">
        <v>200</v>
      </c>
      <c r="E14" s="5" t="n">
        <v>0</v>
      </c>
      <c r="F14" s="2" t="s">
        <v>38</v>
      </c>
    </row>
    <row r="15" customFormat="false" ht="15" hidden="false" customHeight="false" outlineLevel="0" collapsed="false">
      <c r="A15" s="2" t="s">
        <v>53</v>
      </c>
      <c r="B15" s="2" t="s">
        <v>683</v>
      </c>
      <c r="C15" s="2" t="s">
        <v>684</v>
      </c>
      <c r="D15" s="5" t="n">
        <v>150</v>
      </c>
      <c r="E15" s="5" t="n">
        <v>0</v>
      </c>
      <c r="F15" s="2" t="s">
        <v>38</v>
      </c>
    </row>
    <row r="16" customFormat="false" ht="15" hidden="false" customHeight="false" outlineLevel="0" collapsed="false">
      <c r="A16" s="2" t="s">
        <v>55</v>
      </c>
      <c r="B16" s="2" t="s">
        <v>683</v>
      </c>
      <c r="C16" s="2" t="s">
        <v>685</v>
      </c>
      <c r="D16" s="5" t="n">
        <v>670</v>
      </c>
      <c r="E16" s="5" t="n">
        <v>0</v>
      </c>
      <c r="F16" s="2" t="s">
        <v>38</v>
      </c>
    </row>
    <row r="17" customFormat="false" ht="15" hidden="false" customHeight="false" outlineLevel="0" collapsed="false">
      <c r="A17" s="2" t="s">
        <v>57</v>
      </c>
      <c r="B17" s="2" t="s">
        <v>683</v>
      </c>
      <c r="C17" s="2" t="s">
        <v>58</v>
      </c>
      <c r="D17" s="5" t="n">
        <v>1173</v>
      </c>
      <c r="E17" s="5" t="n">
        <v>0</v>
      </c>
      <c r="F17" s="2" t="s">
        <v>38</v>
      </c>
    </row>
    <row r="18" customFormat="false" ht="15" hidden="false" customHeight="false" outlineLevel="0" collapsed="false">
      <c r="A18" s="2" t="s">
        <v>59</v>
      </c>
      <c r="B18" s="2" t="s">
        <v>686</v>
      </c>
      <c r="C18" s="2" t="s">
        <v>60</v>
      </c>
      <c r="D18" s="5" t="n">
        <v>50</v>
      </c>
      <c r="E18" s="5" t="n">
        <v>0</v>
      </c>
      <c r="F18" s="2" t="s">
        <v>38</v>
      </c>
    </row>
    <row r="19" customFormat="false" ht="15" hidden="false" customHeight="false" outlineLevel="0" collapsed="false">
      <c r="A19" s="2" t="s">
        <v>61</v>
      </c>
      <c r="B19" s="2" t="s">
        <v>686</v>
      </c>
      <c r="C19" s="2" t="s">
        <v>62</v>
      </c>
      <c r="D19" s="5" t="n">
        <v>500</v>
      </c>
      <c r="E19" s="5" t="n">
        <v>0</v>
      </c>
      <c r="F19" s="2" t="s">
        <v>38</v>
      </c>
    </row>
    <row r="20" customFormat="false" ht="15" hidden="false" customHeight="false" outlineLevel="0" collapsed="false">
      <c r="A20" s="2" t="s">
        <v>66</v>
      </c>
      <c r="B20" s="2" t="s">
        <v>687</v>
      </c>
      <c r="C20" s="2" t="s">
        <v>67</v>
      </c>
      <c r="D20" s="5" t="n">
        <v>600</v>
      </c>
      <c r="E20" s="5" t="n">
        <v>0</v>
      </c>
      <c r="F20" s="2" t="s">
        <v>38</v>
      </c>
    </row>
    <row r="21" customFormat="false" ht="15" hidden="false" customHeight="false" outlineLevel="0" collapsed="false">
      <c r="A21" s="2" t="s">
        <v>68</v>
      </c>
      <c r="B21" s="2" t="s">
        <v>688</v>
      </c>
      <c r="C21" s="2" t="s">
        <v>69</v>
      </c>
      <c r="D21" s="5" t="n">
        <v>20</v>
      </c>
      <c r="E21" s="5" t="n">
        <v>0</v>
      </c>
      <c r="F21" s="2" t="s">
        <v>38</v>
      </c>
    </row>
    <row r="22" customFormat="false" ht="15" hidden="false" customHeight="false" outlineLevel="0" collapsed="false">
      <c r="A22" s="2" t="s">
        <v>70</v>
      </c>
      <c r="B22" s="2" t="s">
        <v>688</v>
      </c>
      <c r="C22" s="2" t="s">
        <v>71</v>
      </c>
      <c r="D22" s="5" t="n">
        <v>35</v>
      </c>
      <c r="E22" s="5" t="n">
        <v>0</v>
      </c>
      <c r="F22" s="2" t="s">
        <v>38</v>
      </c>
    </row>
    <row r="23" customFormat="false" ht="15" hidden="false" customHeight="false" outlineLevel="0" collapsed="false">
      <c r="A23" s="2" t="s">
        <v>72</v>
      </c>
      <c r="B23" s="2" t="s">
        <v>688</v>
      </c>
      <c r="C23" s="2" t="s">
        <v>73</v>
      </c>
      <c r="D23" s="5" t="n">
        <v>1000</v>
      </c>
      <c r="E23" s="5" t="n">
        <v>0</v>
      </c>
      <c r="F23" s="2" t="s">
        <v>38</v>
      </c>
    </row>
    <row r="24" customFormat="false" ht="15" hidden="false" customHeight="false" outlineLevel="0" collapsed="false">
      <c r="A24" s="2" t="s">
        <v>74</v>
      </c>
      <c r="B24" s="2" t="s">
        <v>689</v>
      </c>
      <c r="C24" s="2" t="s">
        <v>690</v>
      </c>
      <c r="D24" s="5" t="n">
        <v>35</v>
      </c>
      <c r="E24" s="5" t="n">
        <v>0</v>
      </c>
      <c r="F24" s="2" t="s">
        <v>38</v>
      </c>
    </row>
    <row r="25" customFormat="false" ht="15" hidden="false" customHeight="false" outlineLevel="0" collapsed="false">
      <c r="A25" s="2" t="s">
        <v>78</v>
      </c>
      <c r="B25" s="2" t="s">
        <v>689</v>
      </c>
      <c r="C25" s="2" t="s">
        <v>691</v>
      </c>
      <c r="D25" s="5" t="n">
        <v>100</v>
      </c>
      <c r="E25" s="5" t="n">
        <v>0</v>
      </c>
      <c r="F25" s="2" t="s">
        <v>38</v>
      </c>
    </row>
    <row r="26" customFormat="false" ht="15" hidden="false" customHeight="false" outlineLevel="0" collapsed="false">
      <c r="A26" s="2" t="s">
        <v>82</v>
      </c>
      <c r="B26" s="2" t="s">
        <v>689</v>
      </c>
      <c r="C26" s="2" t="s">
        <v>692</v>
      </c>
      <c r="D26" s="5" t="n">
        <v>200</v>
      </c>
      <c r="E26" s="5" t="n">
        <v>0</v>
      </c>
      <c r="F26" s="2" t="s">
        <v>38</v>
      </c>
    </row>
    <row r="27" customFormat="false" ht="15" hidden="false" customHeight="false" outlineLevel="0" collapsed="false">
      <c r="A27" s="2" t="s">
        <v>84</v>
      </c>
      <c r="B27" s="2" t="s">
        <v>689</v>
      </c>
      <c r="C27" s="2" t="s">
        <v>85</v>
      </c>
      <c r="D27" s="5" t="n">
        <v>250</v>
      </c>
      <c r="E27" s="5" t="n">
        <v>0</v>
      </c>
      <c r="F27" s="2" t="s">
        <v>38</v>
      </c>
    </row>
    <row r="28" customFormat="false" ht="15" hidden="false" customHeight="false" outlineLevel="0" collapsed="false">
      <c r="A28" s="2" t="s">
        <v>86</v>
      </c>
      <c r="B28" s="2" t="s">
        <v>689</v>
      </c>
      <c r="C28" s="2" t="s">
        <v>693</v>
      </c>
      <c r="D28" s="5" t="n">
        <v>400</v>
      </c>
      <c r="E28" s="5" t="n">
        <v>0</v>
      </c>
      <c r="F28" s="2" t="s">
        <v>38</v>
      </c>
    </row>
    <row r="29" customFormat="false" ht="15" hidden="false" customHeight="false" outlineLevel="0" collapsed="false">
      <c r="A29" s="2" t="s">
        <v>95</v>
      </c>
      <c r="B29" s="2" t="s">
        <v>694</v>
      </c>
      <c r="C29" s="2" t="s">
        <v>96</v>
      </c>
      <c r="D29" s="5" t="n">
        <v>500</v>
      </c>
      <c r="E29" s="5" t="n">
        <v>0</v>
      </c>
      <c r="F29" s="2" t="s">
        <v>38</v>
      </c>
    </row>
    <row r="30" customFormat="false" ht="15" hidden="false" customHeight="false" outlineLevel="0" collapsed="false">
      <c r="A30" s="2" t="s">
        <v>97</v>
      </c>
      <c r="B30" s="2" t="s">
        <v>695</v>
      </c>
      <c r="C30" s="2" t="s">
        <v>696</v>
      </c>
      <c r="D30" s="5" t="n">
        <v>30</v>
      </c>
      <c r="E30" s="5" t="n">
        <v>0</v>
      </c>
      <c r="F30" s="2" t="s">
        <v>38</v>
      </c>
    </row>
    <row r="31" customFormat="false" ht="15" hidden="false" customHeight="false" outlineLevel="0" collapsed="false">
      <c r="A31" s="2" t="s">
        <v>99</v>
      </c>
      <c r="B31" s="2" t="s">
        <v>695</v>
      </c>
      <c r="C31" s="2" t="s">
        <v>100</v>
      </c>
      <c r="D31" s="5" t="n">
        <v>50</v>
      </c>
      <c r="E31" s="5" t="n">
        <v>0</v>
      </c>
      <c r="F31" s="2" t="s">
        <v>38</v>
      </c>
    </row>
    <row r="32" customFormat="false" ht="15" hidden="false" customHeight="false" outlineLevel="0" collapsed="false">
      <c r="A32" s="2" t="s">
        <v>106</v>
      </c>
      <c r="B32" s="2" t="s">
        <v>695</v>
      </c>
      <c r="C32" s="2" t="s">
        <v>697</v>
      </c>
      <c r="D32" s="5" t="n">
        <v>200</v>
      </c>
      <c r="E32" s="5" t="n">
        <v>0</v>
      </c>
      <c r="F32" s="2" t="s">
        <v>38</v>
      </c>
    </row>
    <row r="33" customFormat="false" ht="15" hidden="false" customHeight="false" outlineLevel="0" collapsed="false">
      <c r="A33" s="2" t="s">
        <v>108</v>
      </c>
      <c r="B33" s="2" t="s">
        <v>695</v>
      </c>
      <c r="C33" s="2" t="s">
        <v>109</v>
      </c>
      <c r="D33" s="5" t="n">
        <v>1220</v>
      </c>
      <c r="E33" s="5" t="n">
        <v>0</v>
      </c>
      <c r="F33" s="2" t="s">
        <v>38</v>
      </c>
    </row>
    <row r="34" customFormat="false" ht="15" hidden="false" customHeight="false" outlineLevel="0" collapsed="false">
      <c r="A34" s="2" t="s">
        <v>121</v>
      </c>
      <c r="B34" s="2" t="s">
        <v>648</v>
      </c>
      <c r="C34" s="2" t="s">
        <v>122</v>
      </c>
      <c r="D34" s="5" t="n">
        <v>500</v>
      </c>
      <c r="E34" s="5" t="n">
        <v>0</v>
      </c>
      <c r="F34" s="2" t="s">
        <v>38</v>
      </c>
    </row>
    <row r="35" customFormat="false" ht="15" hidden="false" customHeight="false" outlineLevel="0" collapsed="false">
      <c r="A35" s="2" t="s">
        <v>127</v>
      </c>
      <c r="B35" s="2" t="s">
        <v>698</v>
      </c>
      <c r="C35" s="2" t="s">
        <v>128</v>
      </c>
      <c r="D35" s="5" t="n">
        <v>0</v>
      </c>
      <c r="E35" s="5" t="n">
        <v>25</v>
      </c>
      <c r="F35" s="2" t="s">
        <v>130</v>
      </c>
    </row>
    <row r="36" customFormat="false" ht="15" hidden="false" customHeight="false" outlineLevel="0" collapsed="false">
      <c r="A36" s="2" t="s">
        <v>131</v>
      </c>
      <c r="B36" s="2" t="s">
        <v>698</v>
      </c>
      <c r="C36" s="2" t="s">
        <v>128</v>
      </c>
      <c r="D36" s="5" t="n">
        <v>0</v>
      </c>
      <c r="E36" s="5" t="n">
        <v>25</v>
      </c>
      <c r="F36" s="2" t="s">
        <v>130</v>
      </c>
    </row>
    <row r="37" customFormat="false" ht="15" hidden="false" customHeight="false" outlineLevel="0" collapsed="false">
      <c r="A37" s="2" t="s">
        <v>136</v>
      </c>
      <c r="B37" s="2" t="s">
        <v>699</v>
      </c>
      <c r="C37" s="2" t="s">
        <v>137</v>
      </c>
      <c r="D37" s="5" t="n">
        <v>0</v>
      </c>
      <c r="E37" s="5" t="n">
        <v>5250</v>
      </c>
      <c r="F37" s="2" t="s">
        <v>138</v>
      </c>
    </row>
    <row r="38" customFormat="false" ht="15" hidden="false" customHeight="false" outlineLevel="0" collapsed="false">
      <c r="A38" s="2" t="s">
        <v>139</v>
      </c>
      <c r="B38" s="2" t="s">
        <v>699</v>
      </c>
      <c r="C38" s="2" t="s">
        <v>140</v>
      </c>
      <c r="D38" s="5" t="n">
        <v>600</v>
      </c>
      <c r="E38" s="5" t="n">
        <v>0</v>
      </c>
      <c r="F38" s="2" t="s">
        <v>38</v>
      </c>
    </row>
    <row r="39" customFormat="false" ht="15" hidden="false" customHeight="false" outlineLevel="0" collapsed="false">
      <c r="A39" s="2" t="s">
        <v>141</v>
      </c>
      <c r="B39" s="2" t="s">
        <v>699</v>
      </c>
      <c r="C39" s="2" t="s">
        <v>142</v>
      </c>
      <c r="D39" s="5" t="n">
        <v>1350</v>
      </c>
      <c r="E39" s="5" t="n">
        <v>0</v>
      </c>
      <c r="F39" s="2" t="s">
        <v>38</v>
      </c>
    </row>
    <row r="40" customFormat="false" ht="15" hidden="false" customHeight="false" outlineLevel="0" collapsed="false">
      <c r="A40" s="2" t="s">
        <v>147</v>
      </c>
      <c r="B40" s="2" t="s">
        <v>700</v>
      </c>
      <c r="C40" s="2" t="s">
        <v>148</v>
      </c>
      <c r="D40" s="5" t="n">
        <v>580</v>
      </c>
      <c r="E40" s="5" t="n">
        <v>0</v>
      </c>
      <c r="F40" s="2" t="s">
        <v>38</v>
      </c>
    </row>
    <row r="41" customFormat="false" ht="15" hidden="false" customHeight="false" outlineLevel="0" collapsed="false">
      <c r="A41" s="2" t="s">
        <v>149</v>
      </c>
      <c r="B41" s="2" t="s">
        <v>700</v>
      </c>
      <c r="C41" s="2" t="s">
        <v>150</v>
      </c>
      <c r="D41" s="5" t="n">
        <v>600</v>
      </c>
      <c r="E41" s="5" t="n">
        <v>0</v>
      </c>
      <c r="F41" s="2" t="s">
        <v>38</v>
      </c>
    </row>
    <row r="42" customFormat="false" ht="15" hidden="false" customHeight="false" outlineLevel="0" collapsed="false">
      <c r="A42" s="2" t="s">
        <v>159</v>
      </c>
      <c r="B42" s="2" t="s">
        <v>701</v>
      </c>
      <c r="C42" s="2" t="s">
        <v>702</v>
      </c>
      <c r="D42" s="5" t="n">
        <v>50</v>
      </c>
      <c r="E42" s="5" t="n">
        <v>0</v>
      </c>
      <c r="F42" s="2" t="s">
        <v>38</v>
      </c>
    </row>
    <row r="43" customFormat="false" ht="15" hidden="false" customHeight="false" outlineLevel="0" collapsed="false">
      <c r="A43" s="2" t="s">
        <v>163</v>
      </c>
      <c r="B43" s="2" t="s">
        <v>703</v>
      </c>
      <c r="C43" s="2" t="s">
        <v>164</v>
      </c>
      <c r="D43" s="5" t="n">
        <v>60</v>
      </c>
      <c r="E43" s="5" t="n">
        <v>0</v>
      </c>
      <c r="F43" s="2" t="s">
        <v>38</v>
      </c>
    </row>
    <row r="44" customFormat="false" ht="15" hidden="false" customHeight="false" outlineLevel="0" collapsed="false">
      <c r="A44" s="2" t="s">
        <v>165</v>
      </c>
      <c r="B44" s="2" t="s">
        <v>704</v>
      </c>
      <c r="C44" s="2" t="s">
        <v>166</v>
      </c>
      <c r="D44" s="5" t="n">
        <v>1000</v>
      </c>
      <c r="E44" s="5" t="n">
        <v>0</v>
      </c>
      <c r="F44" s="2" t="s">
        <v>38</v>
      </c>
    </row>
    <row r="45" customFormat="false" ht="15" hidden="false" customHeight="false" outlineLevel="0" collapsed="false">
      <c r="A45" s="2" t="s">
        <v>169</v>
      </c>
      <c r="B45" s="2" t="s">
        <v>705</v>
      </c>
      <c r="C45" s="2" t="s">
        <v>170</v>
      </c>
      <c r="D45" s="5" t="n">
        <v>69</v>
      </c>
      <c r="E45" s="5" t="n">
        <v>0</v>
      </c>
      <c r="F45" s="2" t="s">
        <v>38</v>
      </c>
    </row>
    <row r="46" customFormat="false" ht="15" hidden="false" customHeight="false" outlineLevel="0" collapsed="false">
      <c r="A46" s="2" t="s">
        <v>173</v>
      </c>
      <c r="B46" s="2" t="s">
        <v>705</v>
      </c>
      <c r="C46" s="2" t="s">
        <v>174</v>
      </c>
      <c r="D46" s="5" t="n">
        <v>600</v>
      </c>
      <c r="E46" s="5" t="n">
        <v>0</v>
      </c>
      <c r="F46" s="2" t="s">
        <v>38</v>
      </c>
    </row>
    <row r="47" customFormat="false" ht="15" hidden="false" customHeight="false" outlineLevel="0" collapsed="false">
      <c r="A47" s="2" t="s">
        <v>177</v>
      </c>
      <c r="B47" s="2" t="s">
        <v>706</v>
      </c>
      <c r="C47" s="2" t="s">
        <v>707</v>
      </c>
      <c r="D47" s="5" t="n">
        <v>400</v>
      </c>
      <c r="E47" s="5" t="n">
        <v>0</v>
      </c>
      <c r="F47" s="2" t="s">
        <v>38</v>
      </c>
    </row>
    <row r="48" customFormat="false" ht="15" hidden="false" customHeight="false" outlineLevel="0" collapsed="false">
      <c r="A48" s="2" t="s">
        <v>179</v>
      </c>
      <c r="B48" s="2" t="s">
        <v>706</v>
      </c>
      <c r="C48" s="2" t="s">
        <v>180</v>
      </c>
      <c r="D48" s="5" t="n">
        <v>700</v>
      </c>
      <c r="E48" s="5" t="n">
        <v>0</v>
      </c>
      <c r="F48" s="2" t="s">
        <v>38</v>
      </c>
    </row>
    <row r="49" customFormat="false" ht="15" hidden="false" customHeight="false" outlineLevel="0" collapsed="false">
      <c r="A49" s="2" t="s">
        <v>181</v>
      </c>
      <c r="B49" s="2" t="s">
        <v>706</v>
      </c>
      <c r="C49" s="2" t="s">
        <v>708</v>
      </c>
      <c r="D49" s="5" t="n">
        <v>1280</v>
      </c>
      <c r="E49" s="5" t="n">
        <v>0</v>
      </c>
      <c r="F49" s="2" t="s">
        <v>38</v>
      </c>
    </row>
    <row r="50" customFormat="false" ht="15" hidden="false" customHeight="false" outlineLevel="0" collapsed="false">
      <c r="A50" s="2" t="s">
        <v>185</v>
      </c>
      <c r="B50" s="2" t="s">
        <v>709</v>
      </c>
      <c r="C50" s="2" t="s">
        <v>186</v>
      </c>
      <c r="D50" s="5" t="n">
        <v>290</v>
      </c>
      <c r="E50" s="5" t="n">
        <v>0</v>
      </c>
      <c r="F50" s="2" t="s">
        <v>38</v>
      </c>
    </row>
    <row r="51" customFormat="false" ht="15" hidden="false" customHeight="false" outlineLevel="0" collapsed="false">
      <c r="A51" s="2" t="s">
        <v>187</v>
      </c>
      <c r="B51" s="2" t="s">
        <v>710</v>
      </c>
      <c r="C51" s="2" t="s">
        <v>188</v>
      </c>
      <c r="D51" s="5" t="n">
        <v>80</v>
      </c>
      <c r="E51" s="5" t="n">
        <v>0</v>
      </c>
      <c r="F51" s="2" t="s">
        <v>38</v>
      </c>
    </row>
    <row r="52" customFormat="false" ht="15" hidden="false" customHeight="false" outlineLevel="0" collapsed="false">
      <c r="A52" s="2" t="s">
        <v>190</v>
      </c>
      <c r="B52" s="2" t="s">
        <v>710</v>
      </c>
      <c r="C52" s="2" t="s">
        <v>191</v>
      </c>
      <c r="D52" s="5" t="n">
        <v>220</v>
      </c>
      <c r="E52" s="5" t="n">
        <v>0</v>
      </c>
      <c r="F52" s="2" t="s">
        <v>38</v>
      </c>
    </row>
    <row r="53" customFormat="false" ht="15" hidden="false" customHeight="false" outlineLevel="0" collapsed="false">
      <c r="A53" s="2" t="s">
        <v>192</v>
      </c>
      <c r="B53" s="2" t="s">
        <v>710</v>
      </c>
      <c r="C53" s="2" t="s">
        <v>193</v>
      </c>
      <c r="D53" s="5" t="n">
        <v>380</v>
      </c>
      <c r="E53" s="5" t="n">
        <v>0</v>
      </c>
      <c r="F53" s="2" t="s">
        <v>38</v>
      </c>
    </row>
    <row r="54" customFormat="false" ht="15" hidden="false" customHeight="false" outlineLevel="0" collapsed="false">
      <c r="A54" s="2" t="s">
        <v>194</v>
      </c>
      <c r="B54" s="2" t="s">
        <v>711</v>
      </c>
      <c r="C54" s="2" t="s">
        <v>195</v>
      </c>
      <c r="D54" s="5" t="n">
        <v>10</v>
      </c>
      <c r="E54" s="5" t="n">
        <v>0</v>
      </c>
      <c r="F54" s="2" t="s">
        <v>38</v>
      </c>
    </row>
    <row r="55" customFormat="false" ht="15" hidden="false" customHeight="false" outlineLevel="0" collapsed="false">
      <c r="A55" s="2" t="s">
        <v>196</v>
      </c>
      <c r="B55" s="2" t="s">
        <v>711</v>
      </c>
      <c r="C55" s="2" t="s">
        <v>197</v>
      </c>
      <c r="D55" s="5" t="n">
        <v>20</v>
      </c>
      <c r="E55" s="5" t="n">
        <v>0</v>
      </c>
      <c r="F55" s="2" t="s">
        <v>38</v>
      </c>
    </row>
    <row r="56" customFormat="false" ht="15" hidden="false" customHeight="false" outlineLevel="0" collapsed="false">
      <c r="A56" s="2" t="s">
        <v>200</v>
      </c>
      <c r="B56" s="2" t="s">
        <v>712</v>
      </c>
      <c r="C56" s="2" t="s">
        <v>713</v>
      </c>
      <c r="D56" s="5" t="n">
        <v>20</v>
      </c>
      <c r="E56" s="5" t="n">
        <v>0</v>
      </c>
      <c r="F56" s="2" t="s">
        <v>38</v>
      </c>
    </row>
    <row r="57" customFormat="false" ht="15" hidden="false" customHeight="false" outlineLevel="0" collapsed="false">
      <c r="A57" s="2" t="s">
        <v>202</v>
      </c>
      <c r="B57" s="2" t="s">
        <v>712</v>
      </c>
      <c r="C57" s="2" t="s">
        <v>714</v>
      </c>
      <c r="D57" s="5" t="n">
        <v>100</v>
      </c>
      <c r="E57" s="5" t="n">
        <v>0</v>
      </c>
      <c r="F57" s="2" t="s">
        <v>38</v>
      </c>
    </row>
    <row r="58" customFormat="false" ht="15" hidden="false" customHeight="false" outlineLevel="0" collapsed="false">
      <c r="A58" s="2" t="s">
        <v>204</v>
      </c>
      <c r="B58" s="2" t="s">
        <v>712</v>
      </c>
      <c r="C58" s="2" t="s">
        <v>715</v>
      </c>
      <c r="D58" s="5" t="n">
        <v>150</v>
      </c>
      <c r="E58" s="5" t="n">
        <v>0</v>
      </c>
      <c r="F58" s="2" t="s">
        <v>38</v>
      </c>
    </row>
    <row r="59" customFormat="false" ht="15" hidden="false" customHeight="false" outlineLevel="0" collapsed="false">
      <c r="A59" s="2" t="s">
        <v>206</v>
      </c>
      <c r="B59" s="2" t="s">
        <v>712</v>
      </c>
      <c r="C59" s="2" t="s">
        <v>207</v>
      </c>
      <c r="D59" s="5" t="n">
        <v>250</v>
      </c>
      <c r="E59" s="5" t="n">
        <v>0</v>
      </c>
      <c r="F59" s="2" t="s">
        <v>38</v>
      </c>
    </row>
    <row r="60" customFormat="false" ht="15" hidden="false" customHeight="false" outlineLevel="0" collapsed="false">
      <c r="A60" s="2" t="s">
        <v>212</v>
      </c>
      <c r="B60" s="2" t="s">
        <v>653</v>
      </c>
      <c r="C60" s="2" t="s">
        <v>213</v>
      </c>
      <c r="D60" s="5" t="n">
        <v>1470</v>
      </c>
      <c r="E60" s="5" t="n">
        <v>0</v>
      </c>
      <c r="F60" s="2" t="s">
        <v>38</v>
      </c>
    </row>
    <row r="61" customFormat="false" ht="15" hidden="false" customHeight="false" outlineLevel="0" collapsed="false">
      <c r="A61" s="2" t="s">
        <v>247</v>
      </c>
      <c r="B61" s="2" t="s">
        <v>716</v>
      </c>
      <c r="C61" s="2" t="s">
        <v>248</v>
      </c>
      <c r="D61" s="5" t="n">
        <v>50</v>
      </c>
      <c r="E61" s="5" t="n">
        <v>0</v>
      </c>
      <c r="F61" s="2" t="s">
        <v>38</v>
      </c>
    </row>
    <row r="62" customFormat="false" ht="15" hidden="false" customHeight="false" outlineLevel="0" collapsed="false">
      <c r="A62" s="2" t="s">
        <v>253</v>
      </c>
      <c r="B62" s="2" t="s">
        <v>717</v>
      </c>
      <c r="C62" s="2" t="s">
        <v>137</v>
      </c>
      <c r="D62" s="5" t="n">
        <v>0</v>
      </c>
      <c r="E62" s="5" t="n">
        <v>1000</v>
      </c>
      <c r="F62" s="2" t="s">
        <v>138</v>
      </c>
    </row>
    <row r="63" customFormat="false" ht="15" hidden="false" customHeight="false" outlineLevel="0" collapsed="false">
      <c r="A63" s="2" t="s">
        <v>286</v>
      </c>
      <c r="B63" s="2" t="s">
        <v>718</v>
      </c>
      <c r="C63" s="2" t="s">
        <v>287</v>
      </c>
      <c r="D63" s="5" t="n">
        <v>0</v>
      </c>
      <c r="E63" s="5" t="n">
        <v>1000</v>
      </c>
      <c r="F63" s="2" t="s">
        <v>138</v>
      </c>
    </row>
    <row r="64" customFormat="false" ht="15" hidden="false" customHeight="false" outlineLevel="0" collapsed="false">
      <c r="A64" s="2" t="s">
        <v>302</v>
      </c>
      <c r="B64" s="2" t="s">
        <v>719</v>
      </c>
      <c r="C64" s="2" t="s">
        <v>137</v>
      </c>
      <c r="D64" s="5" t="n">
        <v>0</v>
      </c>
      <c r="E64" s="5" t="n">
        <v>1000</v>
      </c>
      <c r="F64" s="2" t="s">
        <v>138</v>
      </c>
    </row>
    <row r="65" customFormat="false" ht="15" hidden="false" customHeight="false" outlineLevel="0" collapsed="false">
      <c r="A65" s="2" t="s">
        <v>349</v>
      </c>
      <c r="B65" s="2" t="s">
        <v>720</v>
      </c>
      <c r="C65" s="2" t="s">
        <v>721</v>
      </c>
      <c r="D65" s="5" t="n">
        <v>70</v>
      </c>
      <c r="E65" s="5" t="n">
        <v>0</v>
      </c>
      <c r="F65" s="2" t="s">
        <v>38</v>
      </c>
    </row>
    <row r="66" customFormat="false" ht="15" hidden="false" customHeight="false" outlineLevel="0" collapsed="false">
      <c r="A66" s="2" t="s">
        <v>351</v>
      </c>
      <c r="B66" s="2" t="s">
        <v>720</v>
      </c>
      <c r="C66" s="2" t="s">
        <v>352</v>
      </c>
      <c r="D66" s="5" t="n">
        <v>1000</v>
      </c>
      <c r="E66" s="5" t="n">
        <v>0</v>
      </c>
      <c r="F66" s="2" t="s">
        <v>38</v>
      </c>
    </row>
    <row r="67" customFormat="false" ht="15" hidden="false" customHeight="false" outlineLevel="0" collapsed="false">
      <c r="A67" s="2" t="s">
        <v>359</v>
      </c>
      <c r="B67" s="2" t="s">
        <v>722</v>
      </c>
      <c r="C67" s="2" t="s">
        <v>360</v>
      </c>
      <c r="D67" s="5" t="n">
        <v>20</v>
      </c>
      <c r="E67" s="5" t="n">
        <v>0</v>
      </c>
      <c r="F67" s="2" t="s">
        <v>38</v>
      </c>
    </row>
    <row r="68" customFormat="false" ht="15" hidden="false" customHeight="false" outlineLevel="0" collapsed="false">
      <c r="A68" s="2" t="s">
        <v>373</v>
      </c>
      <c r="B68" s="2" t="s">
        <v>723</v>
      </c>
      <c r="C68" s="2" t="s">
        <v>374</v>
      </c>
      <c r="D68" s="5" t="n">
        <v>400</v>
      </c>
      <c r="E68" s="5" t="n">
        <v>0</v>
      </c>
      <c r="F68" s="2" t="s">
        <v>38</v>
      </c>
    </row>
    <row r="69" customFormat="false" ht="15" hidden="false" customHeight="false" outlineLevel="0" collapsed="false">
      <c r="A69" s="2" t="s">
        <v>388</v>
      </c>
      <c r="B69" s="2" t="s">
        <v>724</v>
      </c>
      <c r="C69" s="2" t="s">
        <v>725</v>
      </c>
      <c r="D69" s="5" t="n">
        <v>500</v>
      </c>
      <c r="E69" s="5" t="n">
        <v>0</v>
      </c>
      <c r="F69" s="2" t="s">
        <v>38</v>
      </c>
    </row>
    <row r="70" customFormat="false" ht="15" hidden="false" customHeight="false" outlineLevel="0" collapsed="false">
      <c r="A70" s="2" t="s">
        <v>401</v>
      </c>
      <c r="B70" s="2" t="s">
        <v>726</v>
      </c>
      <c r="C70" s="2" t="s">
        <v>402</v>
      </c>
      <c r="D70" s="5" t="n">
        <v>50</v>
      </c>
      <c r="E70" s="5" t="n">
        <v>0</v>
      </c>
      <c r="F70" s="2" t="s">
        <v>38</v>
      </c>
    </row>
    <row r="71" customFormat="false" ht="15" hidden="false" customHeight="false" outlineLevel="0" collapsed="false">
      <c r="A71" s="2" t="s">
        <v>446</v>
      </c>
      <c r="B71" s="2" t="s">
        <v>727</v>
      </c>
      <c r="C71" s="2" t="s">
        <v>447</v>
      </c>
      <c r="D71" s="5" t="n">
        <v>2100</v>
      </c>
      <c r="E71" s="5" t="n">
        <v>0</v>
      </c>
      <c r="F71" s="2" t="s">
        <v>38</v>
      </c>
    </row>
    <row r="72" customFormat="false" ht="15" hidden="false" customHeight="false" outlineLevel="0" collapsed="false">
      <c r="A72" s="2" t="s">
        <v>457</v>
      </c>
      <c r="B72" s="2" t="s">
        <v>659</v>
      </c>
      <c r="C72" s="2" t="s">
        <v>458</v>
      </c>
      <c r="D72" s="5" t="n">
        <v>50</v>
      </c>
      <c r="E72" s="5" t="n">
        <v>0</v>
      </c>
      <c r="F72" s="2" t="s">
        <v>38</v>
      </c>
    </row>
    <row r="73" customFormat="false" ht="15" hidden="false" customHeight="false" outlineLevel="0" collapsed="false">
      <c r="A73" s="2" t="s">
        <v>459</v>
      </c>
      <c r="B73" s="2" t="s">
        <v>659</v>
      </c>
      <c r="C73" s="2" t="s">
        <v>460</v>
      </c>
      <c r="D73" s="5" t="n">
        <v>340</v>
      </c>
      <c r="E73" s="5" t="n">
        <v>0</v>
      </c>
      <c r="F73" s="2" t="s">
        <v>38</v>
      </c>
    </row>
    <row r="74" customFormat="false" ht="15" hidden="false" customHeight="false" outlineLevel="0" collapsed="false">
      <c r="A74" s="2" t="s">
        <v>484</v>
      </c>
      <c r="B74" s="2" t="s">
        <v>728</v>
      </c>
      <c r="C74" s="2" t="s">
        <v>485</v>
      </c>
      <c r="D74" s="5" t="n">
        <v>20</v>
      </c>
      <c r="E74" s="5" t="n">
        <v>0</v>
      </c>
      <c r="F74" s="2" t="s">
        <v>38</v>
      </c>
    </row>
    <row r="75" customFormat="false" ht="15" hidden="false" customHeight="false" outlineLevel="0" collapsed="false">
      <c r="A75" s="2" t="s">
        <v>520</v>
      </c>
      <c r="B75" s="2" t="s">
        <v>729</v>
      </c>
      <c r="C75" s="2" t="s">
        <v>521</v>
      </c>
      <c r="D75" s="5" t="n">
        <v>400</v>
      </c>
      <c r="E75" s="5" t="n">
        <v>0</v>
      </c>
      <c r="F75" s="2" t="s">
        <v>38</v>
      </c>
    </row>
    <row r="76" customFormat="false" ht="15" hidden="false" customHeight="false" outlineLevel="0" collapsed="false">
      <c r="A76" s="2" t="s">
        <v>528</v>
      </c>
      <c r="B76" s="2" t="s">
        <v>730</v>
      </c>
      <c r="C76" s="2" t="s">
        <v>128</v>
      </c>
      <c r="D76" s="5" t="n">
        <v>0</v>
      </c>
      <c r="E76" s="5" t="n">
        <v>200</v>
      </c>
      <c r="F76" s="2" t="s">
        <v>130</v>
      </c>
    </row>
    <row r="77" customFormat="false" ht="15" hidden="false" customHeight="false" outlineLevel="0" collapsed="false">
      <c r="A77" s="2" t="s">
        <v>539</v>
      </c>
      <c r="B77" s="2" t="s">
        <v>731</v>
      </c>
      <c r="C77" s="2" t="s">
        <v>732</v>
      </c>
      <c r="D77" s="5" t="n">
        <v>500</v>
      </c>
      <c r="E77" s="5" t="n">
        <v>0</v>
      </c>
      <c r="F77" s="2" t="s">
        <v>38</v>
      </c>
    </row>
    <row r="78" customFormat="false" ht="15" hidden="false" customHeight="false" outlineLevel="0" collapsed="false">
      <c r="A78" s="2" t="s">
        <v>568</v>
      </c>
      <c r="B78" s="2" t="s">
        <v>733</v>
      </c>
      <c r="C78" s="2" t="s">
        <v>569</v>
      </c>
      <c r="D78" s="5" t="n">
        <v>1800</v>
      </c>
      <c r="E78" s="5" t="n">
        <v>0</v>
      </c>
      <c r="F78" s="2" t="s">
        <v>38</v>
      </c>
    </row>
    <row r="79" customFormat="false" ht="15" hidden="false" customHeight="false" outlineLevel="0" collapsed="false">
      <c r="A79" s="2" t="s">
        <v>594</v>
      </c>
      <c r="B79" s="2" t="s">
        <v>734</v>
      </c>
      <c r="C79" s="2" t="s">
        <v>595</v>
      </c>
      <c r="D79" s="5" t="n">
        <v>500</v>
      </c>
      <c r="E79" s="5" t="n">
        <v>0</v>
      </c>
      <c r="F79" s="2" t="s">
        <v>38</v>
      </c>
    </row>
    <row r="80" customFormat="false" ht="15" hidden="false" customHeight="false" outlineLevel="0" collapsed="false">
      <c r="A80" s="2" t="s">
        <v>617</v>
      </c>
      <c r="B80" s="2" t="s">
        <v>735</v>
      </c>
      <c r="C80" s="2" t="s">
        <v>128</v>
      </c>
      <c r="D80" s="5" t="n">
        <v>0</v>
      </c>
      <c r="E80" s="5" t="n">
        <v>150</v>
      </c>
      <c r="F80" s="2" t="s">
        <v>130</v>
      </c>
    </row>
    <row r="81" customFormat="false" ht="15" hidden="false" customHeight="false" outlineLevel="0" collapsed="false">
      <c r="A81" s="2" t="s">
        <v>622</v>
      </c>
      <c r="B81" s="2" t="s">
        <v>663</v>
      </c>
      <c r="C81" s="2" t="s">
        <v>128</v>
      </c>
      <c r="D81" s="5" t="n">
        <v>0</v>
      </c>
      <c r="E81" s="5" t="n">
        <v>335</v>
      </c>
      <c r="F81" s="2" t="s">
        <v>130</v>
      </c>
    </row>
    <row r="82" customFormat="false" ht="15" hidden="false" customHeight="false" outlineLevel="0" collapsed="false">
      <c r="A82" s="2" t="s">
        <v>628</v>
      </c>
      <c r="B82" s="2" t="s">
        <v>663</v>
      </c>
      <c r="C82" s="2" t="s">
        <v>629</v>
      </c>
      <c r="D82" s="5" t="n">
        <v>470</v>
      </c>
      <c r="E82" s="5" t="n">
        <v>0</v>
      </c>
      <c r="F82" s="2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15"/>
    <col collapsed="false" customWidth="true" hidden="false" outlineLevel="0" max="5" min="4" style="0" width="13"/>
    <col collapsed="false" customWidth="true" hidden="false" outlineLevel="0" max="6" min="6" style="0" width="11"/>
  </cols>
  <sheetData>
    <row r="1" customFormat="false" ht="15" hidden="false" customHeight="false" outlineLevel="0" collapsed="false">
      <c r="A1" s="3" t="s">
        <v>736</v>
      </c>
      <c r="B1" s="3" t="s">
        <v>737</v>
      </c>
      <c r="C1" s="3" t="s">
        <v>738</v>
      </c>
      <c r="D1" s="3" t="s">
        <v>639</v>
      </c>
      <c r="E1" s="3" t="s">
        <v>739</v>
      </c>
      <c r="F1" s="3" t="s">
        <v>740</v>
      </c>
    </row>
    <row r="2" customFormat="false" ht="15" hidden="false" customHeight="false" outlineLevel="0" collapsed="false">
      <c r="A2" s="2" t="n">
        <v>4</v>
      </c>
      <c r="B2" s="2" t="n">
        <v>8</v>
      </c>
      <c r="C2" s="2" t="n">
        <v>3</v>
      </c>
      <c r="D2" s="5" t="n">
        <v>7098.75</v>
      </c>
      <c r="E2" s="5" t="n">
        <v>0.58</v>
      </c>
      <c r="F2" s="2" t="s">
        <v>741</v>
      </c>
    </row>
    <row r="3" customFormat="false" ht="15" hidden="false" customHeight="false" outlineLevel="0" collapsed="false">
      <c r="A3" s="2" t="n">
        <v>8</v>
      </c>
      <c r="B3" s="2" t="n">
        <v>23</v>
      </c>
      <c r="C3" s="2" t="n">
        <v>14</v>
      </c>
      <c r="D3" s="5" t="n">
        <v>5240.03</v>
      </c>
      <c r="E3" s="5" t="n">
        <v>1937.84</v>
      </c>
      <c r="F3" s="2" t="s">
        <v>741</v>
      </c>
    </row>
    <row r="4" customFormat="false" ht="15" hidden="false" customHeight="false" outlineLevel="0" collapsed="false">
      <c r="A4" s="2" t="n">
        <v>23</v>
      </c>
      <c r="B4" s="2" t="n">
        <v>24</v>
      </c>
      <c r="C4" s="2" t="n">
        <v>0</v>
      </c>
      <c r="D4" s="5" t="n">
        <v>1493.32</v>
      </c>
      <c r="E4" s="5" t="n">
        <v>1493.32</v>
      </c>
      <c r="F4" s="2" t="s">
        <v>742</v>
      </c>
    </row>
    <row r="5" customFormat="false" ht="15" hidden="false" customHeight="false" outlineLevel="0" collapsed="false">
      <c r="A5" s="2" t="n">
        <v>24</v>
      </c>
      <c r="B5" s="2" t="n">
        <v>26</v>
      </c>
      <c r="C5" s="2" t="n">
        <v>1</v>
      </c>
      <c r="D5" s="5" t="n">
        <v>1005.25</v>
      </c>
      <c r="E5" s="5" t="n">
        <v>695.95</v>
      </c>
      <c r="F5" s="2" t="s">
        <v>741</v>
      </c>
    </row>
    <row r="8" customFormat="false" ht="15" hidden="false" customHeight="false" outlineLevel="0" collapsed="false">
      <c r="A8" s="2" t="s">
        <v>743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2026-07-13T00:52:50Z</dcterms:created>
  <dc:creator>openpyxl</dc:creator>
  <dc:description/>
  <dc:language>en-US</dc:language>
  <cp:lastModifiedBy/>
  <dcterms:modified xsi:type="dcterms:W3CDTF">2026-07-13T00:52:50Z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